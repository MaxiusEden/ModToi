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4" autoFilterDateGrouping="1"/>
  </bookViews>
  <sheets>
    <sheet name="Leia" sheetId="1" state="visible" r:id="rId1"/>
    <sheet name="Peça 1" sheetId="2" state="visible" r:id="rId2"/>
    <sheet name="Peça 2" sheetId="3" state="visible" r:id="rId3"/>
    <sheet name="Nomes-base" sheetId="4" state="visible" r:id="rId4"/>
    <sheet name="Combinaçõ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color rgb="FF808080"/>
      <sz val="11"/>
    </font>
  </fonts>
  <fills count="4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Nomes de técnica gerados: o jogo junta peça 1 + peça 2 + nome-base.</t>
        </is>
      </c>
    </row>
    <row r="2">
      <c r="A2" t="inlineStr">
        <is>
          <t>Chinês: 仙 + 磐 + 灵水 (imortal + rocha maciça + água espiritual). Inglês: "Sloth's Solid Spiritual Water".</t>
        </is>
      </c>
    </row>
    <row r="3">
      <c r="A3" t="inlineStr">
        <is>
          <t>Em PT o mod vai montar: nome-base + adjetivo (peça 2, concordando) + complemento (peça 1).</t>
        </is>
      </c>
    </row>
    <row r="4">
      <c r="A4" t="inlineStr">
        <is>
          <t>Exemplo: "Água Espiritual" + "Sólida" + "do Imortal" = "Água Espiritual Sólida do Imortal".</t>
        </is>
      </c>
    </row>
    <row r="6">
      <c r="A6" t="inlineStr">
        <is>
          <t>O que preencher (colunas amarelas):</t>
        </is>
      </c>
    </row>
    <row r="7">
      <c r="A7" t="inlineStr">
        <is>
          <t xml:space="preserve">  Peça 1: o complemento já com a preposição: "do Imortal", "da Lua", "do Dragão", "das Cinzas".</t>
        </is>
      </c>
    </row>
    <row r="8">
      <c r="A8" t="inlineStr">
        <is>
          <t xml:space="preserve">  Peça 2: o adjetivo no masculino singular e, se mudar, no feminino ("Sólido" / "Sólida").</t>
        </is>
      </c>
    </row>
    <row r="9">
      <c r="A9" t="inlineStr">
        <is>
          <t xml:space="preserve">          Feminino vazio = igual ao masculino ("Celeste", "Azul"). O plural o mod faz sozinho.</t>
        </is>
      </c>
    </row>
    <row r="10">
      <c r="A10" t="inlineStr">
        <is>
          <t xml:space="preserve">          Se a peça 2 for uma locução ("de Névoa"), ela não varia: pode escrever no masculino só.</t>
        </is>
      </c>
    </row>
    <row r="11">
      <c r="A11" t="inlineStr">
        <is>
          <t xml:space="preserve">  Nomes-base: gênero (m/f) e número (s/p) estão preenchidos por palpite; corrija os errados.</t>
        </is>
      </c>
    </row>
    <row r="13">
      <c r="A13" t="inlineStr">
        <is>
          <t>Referência: "Sentido do hanzi" é o significado do caractere chinês. O inglês do jogo se perde da</t>
        </is>
      </c>
    </row>
    <row r="14">
      <c r="A14" t="inlineStr">
        <is>
          <t>peça 1 nº 113 em diante (仙 "imortal" virou "Sloth's"); a coluna Obs. marca onde o inglês não bate.</t>
        </is>
      </c>
    </row>
    <row r="16">
      <c r="A16" t="inlineStr">
        <is>
          <t>A aba Combinações mostra nomes completos com as fórmulas: as primeiras linhas são as técnicas vistas no</t>
        </is>
      </c>
    </row>
    <row r="17">
      <c r="A17" t="inlineStr">
        <is>
          <t>teste do jogo; as outras passam por todas as 200 peças 1 e as 200 peças 2 pelo menos uma vez.</t>
        </is>
      </c>
    </row>
    <row r="18">
      <c r="A18" t="inlineStr">
        <is>
          <t>Todas as combinações possíveis seriam 200 × 200 × ~700 nomes-base (milhões), por isso a planilha é por peça.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101" activePane="bottomLeft" state="frozen"/>
      <selection pane="bottomLeft" activeCell="G199" sqref="G199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16" customWidth="1" min="4" max="4"/>
    <col width="40" customWidth="1" min="5" max="5"/>
    <col width="34" customWidth="1" min="6" max="6"/>
    <col width="40" customWidth="1" min="7" max="7"/>
  </cols>
  <sheetData>
    <row r="1" ht="30" customHeight="1">
      <c r="A1" s="1" t="inlineStr">
        <is>
          <t>ID</t>
        </is>
      </c>
      <c r="B1" s="1" t="inlineStr">
        <is>
          <t>Hanzi</t>
        </is>
      </c>
      <c r="C1" s="1" t="inlineStr">
        <is>
          <t>Sentido do hanzi</t>
        </is>
      </c>
      <c r="D1" s="1" t="inlineStr">
        <is>
          <t>Inglês do jogo</t>
        </is>
      </c>
      <c r="E1" s="1" t="inlineStr">
        <is>
          <t>Obs.</t>
        </is>
      </c>
      <c r="F1" s="1" t="inlineStr">
        <is>
          <t>Sua tradução (com "do/da/dos/das")</t>
        </is>
      </c>
      <c r="G1" s="1" t="inlineStr">
        <is>
          <t>Exemplo</t>
        </is>
      </c>
    </row>
    <row r="2">
      <c r="A2" t="n">
        <v>1</v>
      </c>
      <c r="B2" t="inlineStr">
        <is>
          <t>飞</t>
        </is>
      </c>
      <c r="C2" t="inlineStr">
        <is>
          <t>voar</t>
        </is>
      </c>
      <c r="D2" t="inlineStr">
        <is>
          <t>Hoverer's</t>
        </is>
      </c>
      <c r="F2" s="2" t="inlineStr">
        <is>
          <t>do Voo</t>
        </is>
      </c>
      <c r="G2" s="3">
        <f>IF(F2="","","Técnica Sólida "&amp;F2)</f>
        <v/>
      </c>
    </row>
    <row r="3">
      <c r="A3" t="n">
        <v>2</v>
      </c>
      <c r="B3" t="inlineStr">
        <is>
          <t>舞</t>
        </is>
      </c>
      <c r="C3" t="inlineStr">
        <is>
          <t>dançar</t>
        </is>
      </c>
      <c r="D3" t="inlineStr">
        <is>
          <t>Dancer's</t>
        </is>
      </c>
      <c r="F3" s="2" t="inlineStr">
        <is>
          <t>da Dança</t>
        </is>
      </c>
      <c r="G3" s="3">
        <f>IF(F3="","","Técnica Sólida "&amp;F3)</f>
        <v/>
      </c>
    </row>
    <row r="4">
      <c r="A4" t="n">
        <v>3</v>
      </c>
      <c r="B4" t="inlineStr">
        <is>
          <t>吹</t>
        </is>
      </c>
      <c r="C4" t="inlineStr">
        <is>
          <t>soprar</t>
        </is>
      </c>
      <c r="D4" t="inlineStr">
        <is>
          <t>Blower's</t>
        </is>
      </c>
      <c r="F4" s="2" t="inlineStr">
        <is>
          <t>do Sopro</t>
        </is>
      </c>
      <c r="G4" s="3">
        <f>IF(F4="","","Técnica Sólida "&amp;F4)</f>
        <v/>
      </c>
    </row>
    <row r="5">
      <c r="A5" t="n">
        <v>4</v>
      </c>
      <c r="B5" t="inlineStr">
        <is>
          <t>落</t>
        </is>
      </c>
      <c r="C5" t="inlineStr">
        <is>
          <t>cair</t>
        </is>
      </c>
      <c r="D5" t="inlineStr">
        <is>
          <t>Fallen's</t>
        </is>
      </c>
      <c r="F5" s="2" t="inlineStr">
        <is>
          <t>da Queda</t>
        </is>
      </c>
      <c r="G5" s="3">
        <f>IF(F5="","","Técnica Sólida "&amp;F5)</f>
        <v/>
      </c>
    </row>
    <row r="6">
      <c r="A6" t="n">
        <v>5</v>
      </c>
      <c r="B6" t="inlineStr">
        <is>
          <t>飘</t>
        </is>
      </c>
      <c r="C6" t="inlineStr">
        <is>
          <t>esvoaçar, flutuar</t>
        </is>
      </c>
      <c r="D6" t="inlineStr">
        <is>
          <t>Drifter's</t>
        </is>
      </c>
      <c r="F6" s="2" t="inlineStr">
        <is>
          <t>da Brisa</t>
        </is>
      </c>
      <c r="G6" s="3">
        <f>IF(F6="","","Técnica Sólida "&amp;F6)</f>
        <v/>
      </c>
    </row>
    <row r="7">
      <c r="A7" t="n">
        <v>6</v>
      </c>
      <c r="B7" t="inlineStr">
        <is>
          <t>斩</t>
        </is>
      </c>
      <c r="C7" t="inlineStr">
        <is>
          <t>decepar</t>
        </is>
      </c>
      <c r="D7" t="inlineStr">
        <is>
          <t>Cutter's</t>
        </is>
      </c>
      <c r="F7" s="2" t="inlineStr">
        <is>
          <t>da Degola</t>
        </is>
      </c>
      <c r="G7" s="3">
        <f>IF(F7="","","Técnica Sólida "&amp;F7)</f>
        <v/>
      </c>
    </row>
    <row r="8">
      <c r="A8" t="n">
        <v>7</v>
      </c>
      <c r="B8" t="inlineStr">
        <is>
          <t>断</t>
        </is>
      </c>
      <c r="C8" t="inlineStr">
        <is>
          <t>romper, cortar</t>
        </is>
      </c>
      <c r="D8" t="inlineStr">
        <is>
          <t>Taken's</t>
        </is>
      </c>
      <c r="F8" s="2" t="inlineStr">
        <is>
          <t>da Ruptura</t>
        </is>
      </c>
      <c r="G8" s="3">
        <f>IF(F8="","","Técnica Sólida "&amp;F8)</f>
        <v/>
      </c>
    </row>
    <row r="9">
      <c r="A9" t="n">
        <v>8</v>
      </c>
      <c r="B9" t="inlineStr">
        <is>
          <t>凝</t>
        </is>
      </c>
      <c r="C9" t="inlineStr">
        <is>
          <t>condensar</t>
        </is>
      </c>
      <c r="D9" t="inlineStr">
        <is>
          <t>Thinker's</t>
        </is>
      </c>
      <c r="F9" s="2" t="inlineStr">
        <is>
          <t>da Condensação</t>
        </is>
      </c>
      <c r="G9" s="3">
        <f>IF(F9="","","Técnica Sólida "&amp;F9)</f>
        <v/>
      </c>
    </row>
    <row r="10">
      <c r="A10" t="n">
        <v>9</v>
      </c>
      <c r="B10" t="inlineStr">
        <is>
          <t>破</t>
        </is>
      </c>
      <c r="C10" t="inlineStr">
        <is>
          <t>quebrar, romper</t>
        </is>
      </c>
      <c r="D10" t="inlineStr">
        <is>
          <t>Ravager's</t>
        </is>
      </c>
      <c r="F10" s="2" t="inlineStr">
        <is>
          <t>da Quebra</t>
        </is>
      </c>
      <c r="G10" s="3">
        <f>IF(F10="","","Técnica Sólida "&amp;F10)</f>
        <v/>
      </c>
    </row>
    <row r="11">
      <c r="A11" t="n">
        <v>10</v>
      </c>
      <c r="B11" t="inlineStr">
        <is>
          <t>握</t>
        </is>
      </c>
      <c r="C11" t="inlineStr">
        <is>
          <t>agarrar</t>
        </is>
      </c>
      <c r="D11" t="inlineStr">
        <is>
          <t>Holder's</t>
        </is>
      </c>
      <c r="F11" s="2" t="inlineStr">
        <is>
          <t>do Agarre</t>
        </is>
      </c>
      <c r="G11" s="3">
        <f>IF(F11="","","Técnica Sólida "&amp;F11)</f>
        <v/>
      </c>
    </row>
    <row r="12">
      <c r="A12" t="n">
        <v>11</v>
      </c>
      <c r="B12" t="inlineStr">
        <is>
          <t>撕</t>
        </is>
      </c>
      <c r="C12" t="inlineStr">
        <is>
          <t>rasgar</t>
        </is>
      </c>
      <c r="D12" t="inlineStr">
        <is>
          <t>Slicer's</t>
        </is>
      </c>
      <c r="F12" s="2" t="inlineStr">
        <is>
          <t>do Rasgo</t>
        </is>
      </c>
      <c r="G12" s="3">
        <f>IF(F12="","","Técnica Sólida "&amp;F12)</f>
        <v/>
      </c>
    </row>
    <row r="13">
      <c r="A13" t="n">
        <v>12</v>
      </c>
      <c r="B13" t="inlineStr">
        <is>
          <t>聚</t>
        </is>
      </c>
      <c r="C13" t="inlineStr">
        <is>
          <t>reunir</t>
        </is>
      </c>
      <c r="D13" t="inlineStr">
        <is>
          <t>Fixer's</t>
        </is>
      </c>
      <c r="F13" s="2" t="inlineStr">
        <is>
          <t>da Convergência</t>
        </is>
      </c>
      <c r="G13" s="3">
        <f>IF(F13="","","Técnica Sólida "&amp;F13)</f>
        <v/>
      </c>
    </row>
    <row r="14">
      <c r="A14" t="n">
        <v>13</v>
      </c>
      <c r="B14" t="inlineStr">
        <is>
          <t>归</t>
        </is>
      </c>
      <c r="C14" t="inlineStr">
        <is>
          <t>retornar</t>
        </is>
      </c>
      <c r="D14" t="inlineStr">
        <is>
          <t>Returner's</t>
        </is>
      </c>
      <c r="F14" s="2" t="inlineStr">
        <is>
          <t>do Retorno</t>
        </is>
      </c>
      <c r="G14" s="3">
        <f>IF(F14="","","Técnica Sólida "&amp;F14)</f>
        <v/>
      </c>
    </row>
    <row r="15">
      <c r="A15" t="n">
        <v>14</v>
      </c>
      <c r="B15" t="inlineStr">
        <is>
          <t>炼</t>
        </is>
      </c>
      <c r="C15" t="inlineStr">
        <is>
          <t>refinar, forjar</t>
        </is>
      </c>
      <c r="D15" t="inlineStr">
        <is>
          <t>Forger's</t>
        </is>
      </c>
      <c r="F15" s="2" t="inlineStr">
        <is>
          <t>da Forja</t>
        </is>
      </c>
      <c r="G15" s="3">
        <f>IF(F15="","","Técnica Sólida "&amp;F15)</f>
        <v/>
      </c>
    </row>
    <row r="16">
      <c r="A16" t="n">
        <v>15</v>
      </c>
      <c r="B16" t="inlineStr">
        <is>
          <t>焚</t>
        </is>
      </c>
      <c r="C16" t="inlineStr">
        <is>
          <t>queimar</t>
        </is>
      </c>
      <c r="D16" t="inlineStr">
        <is>
          <t>Burner's</t>
        </is>
      </c>
      <c r="F16" s="2" t="inlineStr">
        <is>
          <t>da Incineração</t>
        </is>
      </c>
      <c r="G16" s="3">
        <f>IF(F16="","","Técnica Sólida "&amp;F16)</f>
        <v/>
      </c>
    </row>
    <row r="17">
      <c r="A17" t="n">
        <v>16</v>
      </c>
      <c r="B17" t="inlineStr">
        <is>
          <t>崩</t>
        </is>
      </c>
      <c r="C17" t="inlineStr">
        <is>
          <t>desmoronar</t>
        </is>
      </c>
      <c r="D17" t="inlineStr">
        <is>
          <t>Befallen's</t>
        </is>
      </c>
      <c r="F17" s="2" t="inlineStr">
        <is>
          <t>do Colapso</t>
        </is>
      </c>
      <c r="G17" s="3">
        <f>IF(F17="","","Técnica Sólida "&amp;F17)</f>
        <v/>
      </c>
    </row>
    <row r="18">
      <c r="A18" t="n">
        <v>17</v>
      </c>
      <c r="B18" t="inlineStr">
        <is>
          <t>灼</t>
        </is>
      </c>
      <c r="C18" t="inlineStr">
        <is>
          <t>abrasar, queimar</t>
        </is>
      </c>
      <c r="D18" t="inlineStr">
        <is>
          <t>Seer's</t>
        </is>
      </c>
      <c r="F18" s="2" t="inlineStr">
        <is>
          <t>da Brasa</t>
        </is>
      </c>
      <c r="G18" s="3">
        <f>IF(F18="","","Técnica Sólida "&amp;F18)</f>
        <v/>
      </c>
    </row>
    <row r="19">
      <c r="A19" t="n">
        <v>18</v>
      </c>
      <c r="B19" t="inlineStr">
        <is>
          <t>定</t>
        </is>
      </c>
      <c r="C19" t="inlineStr">
        <is>
          <t>fixar, imobilizar</t>
        </is>
      </c>
      <c r="D19" t="inlineStr">
        <is>
          <t>Quietude's</t>
        </is>
      </c>
      <c r="F19" s="2" t="inlineStr">
        <is>
          <t>da Estase</t>
        </is>
      </c>
      <c r="G19" s="3">
        <f>IF(F19="","","Técnica Sólida "&amp;F19)</f>
        <v/>
      </c>
    </row>
    <row r="20">
      <c r="A20" t="n">
        <v>19</v>
      </c>
      <c r="B20" t="inlineStr">
        <is>
          <t>穿</t>
        </is>
      </c>
      <c r="C20" t="inlineStr">
        <is>
          <t>atravessar, perfurar</t>
        </is>
      </c>
      <c r="D20" t="inlineStr">
        <is>
          <t>Warrior's</t>
        </is>
      </c>
      <c r="F20" s="2" t="inlineStr">
        <is>
          <t>da Perfuração</t>
        </is>
      </c>
      <c r="G20" s="3">
        <f>IF(F20="","","Técnica Sólida "&amp;F20)</f>
        <v/>
      </c>
    </row>
    <row r="21">
      <c r="A21" t="n">
        <v>20</v>
      </c>
      <c r="B21" t="inlineStr">
        <is>
          <t>封</t>
        </is>
      </c>
      <c r="C21" t="inlineStr">
        <is>
          <t>selar</t>
        </is>
      </c>
      <c r="D21" t="inlineStr">
        <is>
          <t>Seal's</t>
        </is>
      </c>
      <c r="F21" s="2" t="inlineStr">
        <is>
          <t>do Selo</t>
        </is>
      </c>
      <c r="G21" s="3">
        <f>IF(F21="","","Técnica Sólida "&amp;F21)</f>
        <v/>
      </c>
    </row>
    <row r="22">
      <c r="A22" t="n">
        <v>21</v>
      </c>
      <c r="B22" t="inlineStr">
        <is>
          <t>月</t>
        </is>
      </c>
      <c r="C22" t="inlineStr">
        <is>
          <t>lua</t>
        </is>
      </c>
      <c r="D22" t="inlineStr">
        <is>
          <t>Moon's</t>
        </is>
      </c>
      <c r="F22" s="2" t="inlineStr">
        <is>
          <t>da Lua</t>
        </is>
      </c>
      <c r="G22" s="3">
        <f>IF(F22="","","Técnica Sólida "&amp;F22)</f>
        <v/>
      </c>
    </row>
    <row r="23">
      <c r="A23" t="n">
        <v>22</v>
      </c>
      <c r="B23" t="inlineStr">
        <is>
          <t>龙</t>
        </is>
      </c>
      <c r="C23" t="inlineStr">
        <is>
          <t>dragão</t>
        </is>
      </c>
      <c r="D23" t="inlineStr">
        <is>
          <t>Dragon's</t>
        </is>
      </c>
      <c r="F23" s="2" t="inlineStr">
        <is>
          <t>do Dragão</t>
        </is>
      </c>
      <c r="G23" s="3">
        <f>IF(F23="","","Técnica Sólida "&amp;F23)</f>
        <v/>
      </c>
    </row>
    <row r="24">
      <c r="A24" t="n">
        <v>23</v>
      </c>
      <c r="B24" t="inlineStr">
        <is>
          <t>星</t>
        </is>
      </c>
      <c r="C24" t="inlineStr">
        <is>
          <t>estrela</t>
        </is>
      </c>
      <c r="D24" t="inlineStr">
        <is>
          <t>Star's</t>
        </is>
      </c>
      <c r="F24" s="2" t="inlineStr">
        <is>
          <t>da Estrela</t>
        </is>
      </c>
      <c r="G24" s="3">
        <f>IF(F24="","","Técnica Sólida "&amp;F24)</f>
        <v/>
      </c>
    </row>
    <row r="25">
      <c r="A25" t="n">
        <v>24</v>
      </c>
      <c r="B25" t="inlineStr">
        <is>
          <t>云</t>
        </is>
      </c>
      <c r="C25" t="inlineStr">
        <is>
          <t>nuvem</t>
        </is>
      </c>
      <c r="D25" t="inlineStr">
        <is>
          <t>Cloud's</t>
        </is>
      </c>
      <c r="F25" s="2" t="inlineStr">
        <is>
          <t>da Nuvem</t>
        </is>
      </c>
      <c r="G25" s="3">
        <f>IF(F25="","","Técnica Sólida "&amp;F25)</f>
        <v/>
      </c>
    </row>
    <row r="26">
      <c r="A26" t="n">
        <v>25</v>
      </c>
      <c r="B26" t="inlineStr">
        <is>
          <t>血</t>
        </is>
      </c>
      <c r="C26" t="inlineStr">
        <is>
          <t>sangue</t>
        </is>
      </c>
      <c r="D26" t="inlineStr">
        <is>
          <t>Blood's</t>
        </is>
      </c>
      <c r="F26" s="2" t="inlineStr">
        <is>
          <t>do Sangue</t>
        </is>
      </c>
      <c r="G26" s="3">
        <f>IF(F26="","","Técnica Sólida "&amp;F26)</f>
        <v/>
      </c>
    </row>
    <row r="27">
      <c r="A27" t="n">
        <v>26</v>
      </c>
      <c r="B27" t="inlineStr">
        <is>
          <t>神</t>
        </is>
      </c>
      <c r="C27" t="inlineStr">
        <is>
          <t>divino, deus</t>
        </is>
      </c>
      <c r="D27" t="inlineStr">
        <is>
          <t>Spirit's</t>
        </is>
      </c>
      <c r="F27" s="2" t="inlineStr">
        <is>
          <t>do Divino</t>
        </is>
      </c>
      <c r="G27" s="3">
        <f>IF(F27="","","Técnica Sólida "&amp;F27)</f>
        <v/>
      </c>
    </row>
    <row r="28">
      <c r="A28" t="n">
        <v>27</v>
      </c>
      <c r="B28" t="inlineStr">
        <is>
          <t>魔</t>
        </is>
      </c>
      <c r="C28" t="inlineStr">
        <is>
          <t>demônio</t>
        </is>
      </c>
      <c r="D28" t="inlineStr">
        <is>
          <t>Demon's</t>
        </is>
      </c>
      <c r="F28" s="2" t="inlineStr">
        <is>
          <t>do Abismo</t>
        </is>
      </c>
      <c r="G28" s="3">
        <f>IF(F28="","","Técnica Sólida "&amp;F28)</f>
        <v/>
      </c>
    </row>
    <row r="29">
      <c r="A29" t="n">
        <v>28</v>
      </c>
      <c r="B29" t="inlineStr">
        <is>
          <t>苍</t>
        </is>
      </c>
      <c r="C29" t="inlineStr">
        <is>
          <t>azul-celeste, verde-escuro</t>
        </is>
      </c>
      <c r="D29" t="inlineStr">
        <is>
          <t>Azure's</t>
        </is>
      </c>
      <c r="F29" s="2" t="inlineStr">
        <is>
          <t>do Firmamento</t>
        </is>
      </c>
      <c r="G29" s="3">
        <f>IF(F29="","","Técnica Sólida "&amp;F29)</f>
        <v/>
      </c>
    </row>
    <row r="30">
      <c r="A30" t="n">
        <v>29</v>
      </c>
      <c r="B30" t="inlineStr">
        <is>
          <t>冥</t>
        </is>
      </c>
      <c r="C30" t="inlineStr">
        <is>
          <t>submundo, trevas</t>
        </is>
      </c>
      <c r="D30" t="inlineStr">
        <is>
          <t>Nether's</t>
        </is>
      </c>
      <c r="F30" s="2" t="inlineStr">
        <is>
          <t>do Purgatório</t>
        </is>
      </c>
      <c r="G30" s="3">
        <f>IF(F30="","","Técnica Sólida "&amp;F30)</f>
        <v/>
      </c>
    </row>
    <row r="31">
      <c r="A31" t="n">
        <v>30</v>
      </c>
      <c r="B31" t="inlineStr">
        <is>
          <t>暴</t>
        </is>
      </c>
      <c r="C31" t="inlineStr">
        <is>
          <t>violento, tempestuoso</t>
        </is>
      </c>
      <c r="D31" t="inlineStr">
        <is>
          <t>Brute's</t>
        </is>
      </c>
      <c r="F31" s="2" t="inlineStr">
        <is>
          <t>da Tempestade</t>
        </is>
      </c>
      <c r="G31" s="3">
        <f>IF(F31="","","Técnica Sólida "&amp;F31)</f>
        <v/>
      </c>
    </row>
    <row r="32">
      <c r="A32" t="n">
        <v>31</v>
      </c>
      <c r="B32" t="inlineStr">
        <is>
          <t>狂</t>
        </is>
      </c>
      <c r="C32" t="inlineStr">
        <is>
          <t>louco, furioso</t>
        </is>
      </c>
      <c r="D32" t="inlineStr">
        <is>
          <t>Madness'</t>
        </is>
      </c>
      <c r="F32" s="2" t="inlineStr">
        <is>
          <t>da Fúria</t>
        </is>
      </c>
      <c r="G32" s="3">
        <f>IF(F32="","","Técnica Sólida "&amp;F32)</f>
        <v/>
      </c>
    </row>
    <row r="33">
      <c r="A33" t="n">
        <v>32</v>
      </c>
      <c r="B33" t="inlineStr">
        <is>
          <t>掣</t>
        </is>
      </c>
      <c r="C33" t="inlineStr">
        <is>
          <t>puxar, arrancar (rápido como relâmpago)</t>
        </is>
      </c>
      <c r="D33" t="inlineStr">
        <is>
          <t>Control's</t>
        </is>
      </c>
      <c r="F33" s="2" t="inlineStr">
        <is>
          <t>do Relâmpago</t>
        </is>
      </c>
      <c r="G33" s="3">
        <f>IF(F33="","","Técnica Sólida "&amp;F33)</f>
        <v/>
      </c>
    </row>
    <row r="34">
      <c r="A34" t="n">
        <v>33</v>
      </c>
      <c r="B34" t="inlineStr">
        <is>
          <t>噬</t>
        </is>
      </c>
      <c r="C34" t="inlineStr">
        <is>
          <t>devorar, morder</t>
        </is>
      </c>
      <c r="D34" t="inlineStr">
        <is>
          <t>Hunger's</t>
        </is>
      </c>
      <c r="F34" s="2" t="inlineStr">
        <is>
          <t>da Devoração</t>
        </is>
      </c>
      <c r="G34" s="3">
        <f>IF(F34="","","Técnica Sólida "&amp;F34)</f>
        <v/>
      </c>
    </row>
    <row r="35">
      <c r="A35" t="n">
        <v>34</v>
      </c>
      <c r="B35" t="inlineStr">
        <is>
          <t>化</t>
        </is>
      </c>
      <c r="C35" t="inlineStr">
        <is>
          <t>transformar</t>
        </is>
      </c>
      <c r="D35" t="inlineStr">
        <is>
          <t>Turn's</t>
        </is>
      </c>
      <c r="F35" s="2" t="inlineStr">
        <is>
          <t>da Transmutação</t>
        </is>
      </c>
      <c r="G35" s="3">
        <f>IF(F35="","","Técnica Sólida "&amp;F35)</f>
        <v/>
      </c>
    </row>
    <row r="36">
      <c r="A36" t="n">
        <v>35</v>
      </c>
      <c r="B36" t="inlineStr">
        <is>
          <t>弑</t>
        </is>
      </c>
      <c r="C36" t="inlineStr">
        <is>
          <t>assassinar (um superior)</t>
        </is>
      </c>
      <c r="D36" t="inlineStr">
        <is>
          <t>Death's</t>
        </is>
      </c>
      <c r="F36" s="2" t="inlineStr">
        <is>
          <t>do Regicídio</t>
        </is>
      </c>
      <c r="G36" s="3">
        <f>IF(F36="","","Técnica Sólida "&amp;F36)</f>
        <v/>
      </c>
    </row>
    <row r="37">
      <c r="A37" t="n">
        <v>36</v>
      </c>
      <c r="B37" t="inlineStr">
        <is>
          <t>无</t>
        </is>
      </c>
      <c r="C37" t="inlineStr">
        <is>
          <t>nada, vazio</t>
        </is>
      </c>
      <c r="D37" t="inlineStr">
        <is>
          <t>Void's</t>
        </is>
      </c>
      <c r="F37" s="2" t="inlineStr">
        <is>
          <t>do Nada</t>
        </is>
      </c>
      <c r="G37" s="3">
        <f>IF(F37="","","Técnica Sólida "&amp;F37)</f>
        <v/>
      </c>
    </row>
    <row r="38">
      <c r="A38" t="n">
        <v>37</v>
      </c>
      <c r="B38" t="inlineStr">
        <is>
          <t>孤</t>
        </is>
      </c>
      <c r="C38" t="inlineStr">
        <is>
          <t>solitário, órfão</t>
        </is>
      </c>
      <c r="D38" t="inlineStr">
        <is>
          <t>Outcast's</t>
        </is>
      </c>
      <c r="F38" s="2" t="inlineStr">
        <is>
          <t>do Ermitão</t>
        </is>
      </c>
      <c r="G38" s="3">
        <f>IF(F38="","","Técnica Sólida "&amp;F38)</f>
        <v/>
      </c>
    </row>
    <row r="39">
      <c r="A39" t="n">
        <v>38</v>
      </c>
      <c r="B39" t="inlineStr">
        <is>
          <t>流</t>
        </is>
      </c>
      <c r="C39" t="inlineStr">
        <is>
          <t>fluir, errante</t>
        </is>
      </c>
      <c r="D39" t="inlineStr">
        <is>
          <t>Wanderer's</t>
        </is>
      </c>
      <c r="F39" s="2" t="inlineStr">
        <is>
          <t>do Fluxo</t>
        </is>
      </c>
      <c r="G39" s="3">
        <f>IF(F39="","","Técnica Sólida "&amp;F39)</f>
        <v/>
      </c>
    </row>
    <row r="40">
      <c r="A40" t="n">
        <v>39</v>
      </c>
      <c r="B40" t="inlineStr">
        <is>
          <t>伏</t>
        </is>
      </c>
      <c r="C40" t="inlineStr">
        <is>
          <t>emboscar, subjugar</t>
        </is>
      </c>
      <c r="D40" t="inlineStr">
        <is>
          <t>Trap's</t>
        </is>
      </c>
      <c r="F40" s="2" t="inlineStr">
        <is>
          <t>da Emboscada</t>
        </is>
      </c>
      <c r="G40" s="3">
        <f>IF(F40="","","Técnica Sólida "&amp;F40)</f>
        <v/>
      </c>
    </row>
    <row r="41">
      <c r="A41" t="n">
        <v>40</v>
      </c>
      <c r="B41" t="inlineStr">
        <is>
          <t>摧</t>
        </is>
      </c>
      <c r="C41" t="inlineStr">
        <is>
          <t>destruir, esmagar</t>
        </is>
      </c>
      <c r="D41" t="inlineStr">
        <is>
          <t>Wreckage's</t>
        </is>
      </c>
      <c r="F41" s="2" t="inlineStr">
        <is>
          <t>do Esmagamento</t>
        </is>
      </c>
      <c r="G41" s="3">
        <f>IF(F41="","","Técnica Sólida "&amp;F41)</f>
        <v/>
      </c>
    </row>
    <row r="42">
      <c r="A42" t="n">
        <v>41</v>
      </c>
      <c r="B42" t="inlineStr">
        <is>
          <t>镇</t>
        </is>
      </c>
      <c r="C42" t="inlineStr">
        <is>
          <t>subjugar, conter</t>
        </is>
      </c>
      <c r="D42" t="inlineStr">
        <is>
          <t>City's</t>
        </is>
      </c>
      <c r="F42" s="2" t="inlineStr">
        <is>
          <t>da Subjugação</t>
        </is>
      </c>
      <c r="G42" s="3">
        <f>IF(F42="","","Técnica Sólida "&amp;F42)</f>
        <v/>
      </c>
    </row>
    <row r="43">
      <c r="A43" t="n">
        <v>42</v>
      </c>
      <c r="B43" t="inlineStr">
        <is>
          <t>渡</t>
        </is>
      </c>
      <c r="C43" t="inlineStr">
        <is>
          <t>atravessar (a água)</t>
        </is>
      </c>
      <c r="D43" t="inlineStr">
        <is>
          <t>Canal's</t>
        </is>
      </c>
      <c r="F43" s="2" t="inlineStr">
        <is>
          <t>da Travessia</t>
        </is>
      </c>
      <c r="G43" s="3">
        <f>IF(F43="","","Técnica Sólida "&amp;F43)</f>
        <v/>
      </c>
    </row>
    <row r="44">
      <c r="A44" t="n">
        <v>43</v>
      </c>
      <c r="B44" t="inlineStr">
        <is>
          <t>夺</t>
        </is>
      </c>
      <c r="C44" t="inlineStr">
        <is>
          <t>tomar, roubar</t>
        </is>
      </c>
      <c r="D44" t="inlineStr">
        <is>
          <t>Thief's</t>
        </is>
      </c>
      <c r="F44" s="2" t="inlineStr">
        <is>
          <t>da Usurpação</t>
        </is>
      </c>
      <c r="G44" s="3">
        <f>IF(F44="","","Técnica Sólida "&amp;F44)</f>
        <v/>
      </c>
    </row>
    <row r="45">
      <c r="A45" t="n">
        <v>44</v>
      </c>
      <c r="B45" t="inlineStr">
        <is>
          <t>碎</t>
        </is>
      </c>
      <c r="C45" t="inlineStr">
        <is>
          <t>despedaçar</t>
        </is>
      </c>
      <c r="D45" t="inlineStr">
        <is>
          <t>Crusher's</t>
        </is>
      </c>
      <c r="F45" s="2" t="inlineStr">
        <is>
          <t>da Fragmentação</t>
        </is>
      </c>
      <c r="G45" s="3">
        <f>IF(F45="","","Técnica Sólida "&amp;F45)</f>
        <v/>
      </c>
    </row>
    <row r="46">
      <c r="A46" t="n">
        <v>45</v>
      </c>
      <c r="B46" t="inlineStr">
        <is>
          <t>灭</t>
        </is>
      </c>
      <c r="C46" t="inlineStr">
        <is>
          <t>aniquilar, extinguir</t>
        </is>
      </c>
      <c r="D46" t="inlineStr">
        <is>
          <t>Ruiner's</t>
        </is>
      </c>
      <c r="F46" s="2" t="inlineStr">
        <is>
          <t>da Aniquilação</t>
        </is>
      </c>
      <c r="G46" s="3">
        <f>IF(F46="","","Técnica Sólida "&amp;F46)</f>
        <v/>
      </c>
    </row>
    <row r="47">
      <c r="A47" t="n">
        <v>46</v>
      </c>
      <c r="B47" t="inlineStr">
        <is>
          <t>轻</t>
        </is>
      </c>
      <c r="C47" t="inlineStr">
        <is>
          <t>leve</t>
        </is>
      </c>
      <c r="D47" t="inlineStr">
        <is>
          <t>Feather's</t>
        </is>
      </c>
      <c r="F47" s="2" t="inlineStr">
        <is>
          <t>da Leveza</t>
        </is>
      </c>
      <c r="G47" s="3">
        <f>IF(F47="","","Técnica Sólida "&amp;F47)</f>
        <v/>
      </c>
    </row>
    <row r="48">
      <c r="A48" t="n">
        <v>47</v>
      </c>
      <c r="B48" t="inlineStr">
        <is>
          <t>绝</t>
        </is>
      </c>
      <c r="C48" t="inlineStr">
        <is>
          <t>extremo, cortar de vez</t>
        </is>
      </c>
      <c r="D48" t="inlineStr">
        <is>
          <t>Ender's</t>
        </is>
      </c>
      <c r="F48" s="2" t="inlineStr">
        <is>
          <t>do Ultimato</t>
        </is>
      </c>
      <c r="G48" s="3">
        <f>IF(F48="","","Técnica Sólida "&amp;F48)</f>
        <v/>
      </c>
    </row>
    <row r="49">
      <c r="A49" t="n">
        <v>48</v>
      </c>
      <c r="B49" t="inlineStr">
        <is>
          <t>幽</t>
        </is>
      </c>
      <c r="C49" t="inlineStr">
        <is>
          <t>sombrio, recôndito</t>
        </is>
      </c>
      <c r="D49" t="inlineStr">
        <is>
          <t>Gloom's</t>
        </is>
      </c>
      <c r="F49" s="2" t="inlineStr">
        <is>
          <t>do Recôndito</t>
        </is>
      </c>
      <c r="G49" s="3">
        <f>IF(F49="","","Técnica Sólida "&amp;F49)</f>
        <v/>
      </c>
    </row>
    <row r="50">
      <c r="A50" t="n">
        <v>49</v>
      </c>
      <c r="B50" t="inlineStr">
        <is>
          <t>青</t>
        </is>
      </c>
      <c r="C50" t="inlineStr">
        <is>
          <t>verde-azulado</t>
        </is>
      </c>
      <c r="D50" t="inlineStr">
        <is>
          <t>Cobalt's</t>
        </is>
      </c>
      <c r="F50" s="2" t="inlineStr">
        <is>
          <t>do Jade</t>
        </is>
      </c>
      <c r="G50" s="3">
        <f>IF(F50="","","Técnica Sólida "&amp;F50)</f>
        <v/>
      </c>
    </row>
    <row r="51">
      <c r="A51" t="n">
        <v>50</v>
      </c>
      <c r="B51" t="inlineStr">
        <is>
          <t>赤</t>
        </is>
      </c>
      <c r="C51" t="inlineStr">
        <is>
          <t>vermelho</t>
        </is>
      </c>
      <c r="D51" t="inlineStr">
        <is>
          <t>Gore's</t>
        </is>
      </c>
      <c r="F51" s="2" t="inlineStr">
        <is>
          <t>do Carmesim</t>
        </is>
      </c>
      <c r="G51" s="3">
        <f>IF(F51="","","Técnica Sólida "&amp;F51)</f>
        <v/>
      </c>
    </row>
    <row r="52">
      <c r="A52" t="n">
        <v>51</v>
      </c>
      <c r="B52" t="inlineStr">
        <is>
          <t>金</t>
        </is>
      </c>
      <c r="C52" t="inlineStr">
        <is>
          <t>ouro, metal</t>
        </is>
      </c>
      <c r="D52" t="inlineStr">
        <is>
          <t>Gilder's</t>
        </is>
      </c>
      <c r="F52" s="2" t="inlineStr">
        <is>
          <t>do Ouro</t>
        </is>
      </c>
      <c r="G52" s="3">
        <f>IF(F52="","","Técnica Sólida "&amp;F52)</f>
        <v/>
      </c>
    </row>
    <row r="53">
      <c r="A53" t="n">
        <v>52</v>
      </c>
      <c r="B53" t="inlineStr">
        <is>
          <t>黑</t>
        </is>
      </c>
      <c r="C53" t="inlineStr">
        <is>
          <t>preto</t>
        </is>
      </c>
      <c r="D53" t="inlineStr">
        <is>
          <t>Obsidian's</t>
        </is>
      </c>
      <c r="F53" s="2" t="inlineStr">
        <is>
          <t>do Ébano</t>
        </is>
      </c>
      <c r="G53" s="3">
        <f>IF(F53="","","Técnica Sólida "&amp;F53)</f>
        <v/>
      </c>
    </row>
    <row r="54">
      <c r="A54" t="n">
        <v>53</v>
      </c>
      <c r="B54" t="inlineStr">
        <is>
          <t>红</t>
        </is>
      </c>
      <c r="C54" t="inlineStr">
        <is>
          <t>vermelho</t>
        </is>
      </c>
      <c r="D54" t="inlineStr">
        <is>
          <t>Ruby's</t>
        </is>
      </c>
      <c r="F54" s="2" t="inlineStr">
        <is>
          <t>do Escarlate</t>
        </is>
      </c>
      <c r="G54" s="3">
        <f>IF(F54="","","Técnica Sólida "&amp;F54)</f>
        <v/>
      </c>
    </row>
    <row r="55">
      <c r="A55" t="n">
        <v>54</v>
      </c>
      <c r="B55" t="inlineStr">
        <is>
          <t>银</t>
        </is>
      </c>
      <c r="C55" t="inlineStr">
        <is>
          <t>prata</t>
        </is>
      </c>
      <c r="D55" t="inlineStr">
        <is>
          <t>Silver's</t>
        </is>
      </c>
      <c r="F55" s="2" t="inlineStr">
        <is>
          <t>da Prata</t>
        </is>
      </c>
      <c r="G55" s="3">
        <f>IF(F55="","","Técnica Sólida "&amp;F55)</f>
        <v/>
      </c>
    </row>
    <row r="56">
      <c r="A56" t="n">
        <v>55</v>
      </c>
      <c r="B56" t="inlineStr">
        <is>
          <t>禁</t>
        </is>
      </c>
      <c r="C56" t="inlineStr">
        <is>
          <t>proibir, selar</t>
        </is>
      </c>
      <c r="D56" t="inlineStr">
        <is>
          <t>Sealer's</t>
        </is>
      </c>
      <c r="F56" s="2" t="inlineStr">
        <is>
          <t>do Tabu</t>
        </is>
      </c>
      <c r="G56" s="3">
        <f>IF(F56="","","Técnica Sólida "&amp;F56)</f>
        <v/>
      </c>
    </row>
    <row r="57">
      <c r="A57" t="n">
        <v>56</v>
      </c>
      <c r="B57" t="inlineStr">
        <is>
          <t>残</t>
        </is>
      </c>
      <c r="C57" t="inlineStr">
        <is>
          <t>remanescente, mutilado</t>
        </is>
      </c>
      <c r="D57" t="inlineStr">
        <is>
          <t>Goner's</t>
        </is>
      </c>
      <c r="F57" s="2" t="inlineStr">
        <is>
          <t>da Mutilação</t>
        </is>
      </c>
      <c r="G57" s="3">
        <f>IF(F57="","","Técnica Sólida "&amp;F57)</f>
        <v/>
      </c>
    </row>
    <row r="58">
      <c r="A58" t="n">
        <v>57</v>
      </c>
      <c r="B58" t="inlineStr">
        <is>
          <t>天</t>
        </is>
      </c>
      <c r="C58" t="inlineStr">
        <is>
          <t>céu</t>
        </is>
      </c>
      <c r="D58" t="inlineStr">
        <is>
          <t>Sky's</t>
        </is>
      </c>
      <c r="F58" s="2" t="inlineStr">
        <is>
          <t>do Céu</t>
        </is>
      </c>
      <c r="G58" s="3">
        <f>IF(F58="","","Técnica Sólida "&amp;F58)</f>
        <v/>
      </c>
    </row>
    <row r="59">
      <c r="A59" t="n">
        <v>58</v>
      </c>
      <c r="B59" t="inlineStr">
        <is>
          <t>幻</t>
        </is>
      </c>
      <c r="C59" t="inlineStr">
        <is>
          <t>ilusão</t>
        </is>
      </c>
      <c r="D59" t="inlineStr">
        <is>
          <t>Mirage's</t>
        </is>
      </c>
      <c r="F59" s="2" t="inlineStr">
        <is>
          <t>da Ilusão</t>
        </is>
      </c>
      <c r="G59" s="3">
        <f>IF(F59="","","Técnica Sólida "&amp;F59)</f>
        <v/>
      </c>
    </row>
    <row r="60">
      <c r="A60" t="n">
        <v>59</v>
      </c>
      <c r="B60" t="inlineStr">
        <is>
          <t>疾</t>
        </is>
      </c>
      <c r="C60" t="inlineStr">
        <is>
          <t>veloz</t>
        </is>
      </c>
      <c r="D60" t="inlineStr">
        <is>
          <t>Alacrity's</t>
        </is>
      </c>
      <c r="F60" s="2" t="inlineStr">
        <is>
          <t>da Velocidade</t>
        </is>
      </c>
      <c r="G60" s="3">
        <f>IF(F60="","","Técnica Sólida "&amp;F60)</f>
        <v/>
      </c>
    </row>
    <row r="61">
      <c r="A61" t="n">
        <v>60</v>
      </c>
      <c r="B61" t="inlineStr">
        <is>
          <t>怒</t>
        </is>
      </c>
      <c r="C61" t="inlineStr">
        <is>
          <t>ira</t>
        </is>
      </c>
      <c r="D61" t="inlineStr">
        <is>
          <t>Anger's</t>
        </is>
      </c>
      <c r="F61" s="2" t="inlineStr">
        <is>
          <t>da Ira</t>
        </is>
      </c>
      <c r="G61" s="3">
        <f>IF(F61="","","Técnica Sólida "&amp;F61)</f>
        <v/>
      </c>
    </row>
    <row r="62">
      <c r="A62" t="n">
        <v>61</v>
      </c>
      <c r="B62" t="inlineStr">
        <is>
          <t>炽</t>
        </is>
      </c>
      <c r="C62" t="inlineStr">
        <is>
          <t>ardente, incandescente</t>
        </is>
      </c>
      <c r="D62" t="inlineStr">
        <is>
          <t>Flare's</t>
        </is>
      </c>
      <c r="F62" s="2" t="inlineStr">
        <is>
          <t>da Incandescência</t>
        </is>
      </c>
      <c r="G62" s="3">
        <f>IF(F62="","","Técnica Sólida "&amp;F62)</f>
        <v/>
      </c>
    </row>
    <row r="63">
      <c r="A63" t="n">
        <v>62</v>
      </c>
      <c r="B63" t="inlineStr">
        <is>
          <t>灵</t>
        </is>
      </c>
      <c r="C63" t="inlineStr">
        <is>
          <t>espírito, éter</t>
        </is>
      </c>
      <c r="D63" t="inlineStr">
        <is>
          <t>Aether's</t>
        </is>
      </c>
      <c r="F63" s="2" t="inlineStr">
        <is>
          <t>do Éter</t>
        </is>
      </c>
      <c r="G63" s="3">
        <f>IF(F63="","","Técnica Sólida "&amp;F63)</f>
        <v/>
      </c>
    </row>
    <row r="64">
      <c r="A64" t="n">
        <v>63</v>
      </c>
      <c r="B64" t="inlineStr">
        <is>
          <t>墨</t>
        </is>
      </c>
      <c r="C64" t="inlineStr">
        <is>
          <t>tinta (nanquim)</t>
        </is>
      </c>
      <c r="D64" t="inlineStr">
        <is>
          <t>Inker's</t>
        </is>
      </c>
      <c r="F64" s="2" t="inlineStr">
        <is>
          <t>do Nanquim</t>
        </is>
      </c>
      <c r="G64" s="3">
        <f>IF(F64="","","Técnica Sólida "&amp;F64)</f>
        <v/>
      </c>
    </row>
    <row r="65">
      <c r="A65" t="n">
        <v>64</v>
      </c>
      <c r="B65" t="inlineStr">
        <is>
          <t>锁</t>
        </is>
      </c>
      <c r="C65" t="inlineStr">
        <is>
          <t>trancar, corrente</t>
        </is>
      </c>
      <c r="D65" t="inlineStr">
        <is>
          <t>Chainer's</t>
        </is>
      </c>
      <c r="F65" s="2" t="inlineStr">
        <is>
          <t>das Correntes</t>
        </is>
      </c>
      <c r="G65" s="3">
        <f>IF(F65="","","Técnica Sólida "&amp;F65)</f>
        <v/>
      </c>
    </row>
    <row r="66">
      <c r="A66" t="n">
        <v>65</v>
      </c>
      <c r="B66" t="inlineStr">
        <is>
          <t>御</t>
        </is>
      </c>
      <c r="C66" t="inlineStr">
        <is>
          <t>comandar, controlar</t>
        </is>
      </c>
      <c r="D66" t="inlineStr">
        <is>
          <t>Wielder's</t>
        </is>
      </c>
      <c r="F66" s="2" t="inlineStr">
        <is>
          <t>do Domínio</t>
        </is>
      </c>
      <c r="G66" s="3">
        <f>IF(F66="","","Técnica Sólida "&amp;F66)</f>
        <v/>
      </c>
    </row>
    <row r="67">
      <c r="A67" t="n">
        <v>66</v>
      </c>
      <c r="B67" t="inlineStr">
        <is>
          <t>虚</t>
        </is>
      </c>
      <c r="C67" t="inlineStr">
        <is>
          <t>vazio, vácuo</t>
        </is>
      </c>
      <c r="D67" t="inlineStr">
        <is>
          <t>Deserter's</t>
        </is>
      </c>
      <c r="F67" s="2" t="inlineStr">
        <is>
          <t>do Vácuo</t>
        </is>
      </c>
      <c r="G67" s="3">
        <f>IF(F67="","","Técnica Sólida "&amp;F67)</f>
        <v/>
      </c>
    </row>
    <row r="68">
      <c r="A68" t="n">
        <v>67</v>
      </c>
      <c r="B68" t="inlineStr">
        <is>
          <t>暗</t>
        </is>
      </c>
      <c r="C68" t="inlineStr">
        <is>
          <t>escuro</t>
        </is>
      </c>
      <c r="D68" t="inlineStr">
        <is>
          <t>Doom's</t>
        </is>
      </c>
      <c r="F68" s="2" t="inlineStr">
        <is>
          <t>da Escuridão</t>
        </is>
      </c>
      <c r="G68" s="3">
        <f>IF(F68="","","Técnica Sólida "&amp;F68)</f>
        <v/>
      </c>
    </row>
    <row r="69">
      <c r="A69" t="n">
        <v>68</v>
      </c>
      <c r="B69" t="inlineStr">
        <is>
          <t>邪</t>
        </is>
      </c>
      <c r="C69" t="inlineStr">
        <is>
          <t>maligno</t>
        </is>
      </c>
      <c r="D69" t="inlineStr">
        <is>
          <t>Evil's</t>
        </is>
      </c>
      <c r="F69" s="2" t="inlineStr">
        <is>
          <t>do Maligno</t>
        </is>
      </c>
      <c r="G69" s="3">
        <f>IF(F69="","","Técnica Sólida "&amp;F69)</f>
        <v/>
      </c>
    </row>
    <row r="70">
      <c r="A70" t="n">
        <v>69</v>
      </c>
      <c r="B70" t="inlineStr">
        <is>
          <t>荒</t>
        </is>
      </c>
      <c r="C70" t="inlineStr">
        <is>
          <t>ermo, selvagem</t>
        </is>
      </c>
      <c r="D70" t="inlineStr">
        <is>
          <t>Waste's</t>
        </is>
      </c>
      <c r="F70" s="2" t="inlineStr">
        <is>
          <t>do Ermo</t>
        </is>
      </c>
      <c r="G70" s="3">
        <f>IF(F70="","","Técnica Sólida "&amp;F70)</f>
        <v/>
      </c>
    </row>
    <row r="71">
      <c r="A71" t="n">
        <v>70</v>
      </c>
      <c r="B71" t="inlineStr">
        <is>
          <t>蚀</t>
        </is>
      </c>
      <c r="C71" t="inlineStr">
        <is>
          <t>corroer</t>
        </is>
      </c>
      <c r="D71" t="inlineStr">
        <is>
          <t>Gnawer's</t>
        </is>
      </c>
      <c r="F71" s="2" t="inlineStr">
        <is>
          <t>da Corrosão</t>
        </is>
      </c>
      <c r="G71" s="3">
        <f>IF(F71="","","Técnica Sólida "&amp;F71)</f>
        <v/>
      </c>
    </row>
    <row r="72">
      <c r="A72" t="n">
        <v>71</v>
      </c>
      <c r="B72" t="inlineStr">
        <is>
          <t>寂</t>
        </is>
      </c>
      <c r="C72" t="inlineStr">
        <is>
          <t>silêncio</t>
        </is>
      </c>
      <c r="D72" t="inlineStr">
        <is>
          <t>Silence's</t>
        </is>
      </c>
      <c r="F72" s="2" t="inlineStr">
        <is>
          <t>do Silêncio</t>
        </is>
      </c>
      <c r="G72" s="3">
        <f>IF(F72="","","Técnica Sólida "&amp;F72)</f>
        <v/>
      </c>
    </row>
    <row r="73">
      <c r="A73" t="n">
        <v>72</v>
      </c>
      <c r="B73" t="inlineStr">
        <is>
          <t>爆</t>
        </is>
      </c>
      <c r="C73" t="inlineStr">
        <is>
          <t>explodir</t>
        </is>
      </c>
      <c r="D73" t="inlineStr">
        <is>
          <t>Burster's</t>
        </is>
      </c>
      <c r="F73" s="2" t="inlineStr">
        <is>
          <t>da Explosão</t>
        </is>
      </c>
      <c r="G73" s="3">
        <f>IF(F73="","","Técnica Sólida "&amp;F73)</f>
        <v/>
      </c>
    </row>
    <row r="74">
      <c r="A74" t="n">
        <v>73</v>
      </c>
      <c r="B74" t="inlineStr">
        <is>
          <t>裂</t>
        </is>
      </c>
      <c r="C74" t="inlineStr">
        <is>
          <t>rachar, fender</t>
        </is>
      </c>
      <c r="D74" t="inlineStr">
        <is>
          <t>Tearer's</t>
        </is>
      </c>
      <c r="F74" s="2" t="inlineStr">
        <is>
          <t>da Fenda</t>
        </is>
      </c>
      <c r="G74" s="3">
        <f>IF(F74="","","Técnica Sólida "&amp;F74)</f>
        <v/>
      </c>
    </row>
    <row r="75">
      <c r="A75" t="n">
        <v>74</v>
      </c>
      <c r="B75" t="inlineStr">
        <is>
          <t>劫</t>
        </is>
      </c>
      <c r="C75" t="inlineStr">
        <is>
          <t>tribulação, calamidade</t>
        </is>
      </c>
      <c r="D75" t="inlineStr">
        <is>
          <t>Suffering's</t>
        </is>
      </c>
      <c r="F75" s="2" t="inlineStr">
        <is>
          <t>da Calamidade</t>
        </is>
      </c>
      <c r="G75" s="3">
        <f>IF(F75="","","Técnica Sólida "&amp;F75)</f>
        <v/>
      </c>
    </row>
    <row r="76">
      <c r="A76" t="n">
        <v>75</v>
      </c>
      <c r="B76" t="inlineStr">
        <is>
          <t>贯</t>
        </is>
      </c>
      <c r="C76" t="inlineStr">
        <is>
          <t>trespassar</t>
        </is>
      </c>
      <c r="D76" t="inlineStr">
        <is>
          <t>Piercer's</t>
        </is>
      </c>
      <c r="F76" s="2" t="inlineStr">
        <is>
          <t>do Trespasso</t>
        </is>
      </c>
      <c r="G76" s="3">
        <f>IF(F76="","","Técnica Sólida "&amp;F76)</f>
        <v/>
      </c>
    </row>
    <row r="77">
      <c r="A77" t="n">
        <v>76</v>
      </c>
      <c r="B77" t="inlineStr">
        <is>
          <t>震</t>
        </is>
      </c>
      <c r="C77" t="inlineStr">
        <is>
          <t>tremer, abalar</t>
        </is>
      </c>
      <c r="D77" t="inlineStr">
        <is>
          <t>Tremor's</t>
        </is>
      </c>
      <c r="F77" s="2" t="inlineStr">
        <is>
          <t>do Tremor</t>
        </is>
      </c>
      <c r="G77" s="3">
        <f>IF(F77="","","Técnica Sólida "&amp;F77)</f>
        <v/>
      </c>
    </row>
    <row r="78">
      <c r="A78" t="n">
        <v>77</v>
      </c>
      <c r="B78" t="inlineStr">
        <is>
          <t>玄</t>
        </is>
      </c>
      <c r="C78" t="inlineStr">
        <is>
          <t>misterioso, profundo</t>
        </is>
      </c>
      <c r="D78" t="inlineStr">
        <is>
          <t>Mystic's</t>
        </is>
      </c>
      <c r="F78" s="2" t="inlineStr">
        <is>
          <t>do Profundo</t>
        </is>
      </c>
      <c r="G78" s="3">
        <f>IF(F78="","","Técnica Sólida "&amp;F78)</f>
        <v/>
      </c>
    </row>
    <row r="79">
      <c r="A79" t="n">
        <v>78</v>
      </c>
      <c r="B79" t="inlineStr">
        <is>
          <t>碧</t>
        </is>
      </c>
      <c r="C79" t="inlineStr">
        <is>
          <t>verde-jade</t>
        </is>
      </c>
      <c r="D79" t="inlineStr">
        <is>
          <t>Jade's</t>
        </is>
      </c>
      <c r="F79" s="2" t="inlineStr">
        <is>
          <t>da Esmeralda</t>
        </is>
      </c>
      <c r="G79" s="3">
        <f>IF(F79="","","Técnica Sólida "&amp;F79)</f>
        <v/>
      </c>
    </row>
    <row r="80">
      <c r="A80" t="n">
        <v>79</v>
      </c>
      <c r="B80" t="inlineStr">
        <is>
          <t>紫</t>
        </is>
      </c>
      <c r="C80" t="inlineStr">
        <is>
          <t>púrpura</t>
        </is>
      </c>
      <c r="D80" t="inlineStr">
        <is>
          <t>Violet's</t>
        </is>
      </c>
      <c r="F80" s="2" t="inlineStr">
        <is>
          <t>da Púrpura</t>
        </is>
      </c>
      <c r="G80" s="3">
        <f>IF(F80="","","Técnica Sólida "&amp;F80)</f>
        <v/>
      </c>
    </row>
    <row r="81">
      <c r="A81" t="n">
        <v>80</v>
      </c>
      <c r="B81" t="inlineStr">
        <is>
          <t>煞</t>
        </is>
      </c>
      <c r="C81" t="inlineStr">
        <is>
          <t>funesto, espírito maligno</t>
        </is>
      </c>
      <c r="D81" t="inlineStr">
        <is>
          <t>Miasma's</t>
        </is>
      </c>
      <c r="F81" s="2" t="inlineStr">
        <is>
          <t>do Agouro</t>
        </is>
      </c>
      <c r="G81" s="3">
        <f>IF(F81="","","Técnica Sólida "&amp;F81)</f>
        <v/>
      </c>
    </row>
    <row r="82">
      <c r="A82" t="n">
        <v>81</v>
      </c>
      <c r="B82" t="inlineStr">
        <is>
          <t>逐</t>
        </is>
      </c>
      <c r="C82" t="inlineStr">
        <is>
          <t>perseguir, expulsar</t>
        </is>
      </c>
      <c r="D82" t="inlineStr">
        <is>
          <t>Expeller's</t>
        </is>
      </c>
      <c r="F82" s="2" t="inlineStr">
        <is>
          <t>do Exílio</t>
        </is>
      </c>
      <c r="G82" s="3">
        <f>IF(F82="","","Técnica Sólida "&amp;F82)</f>
        <v/>
      </c>
    </row>
    <row r="83">
      <c r="A83" t="n">
        <v>82</v>
      </c>
      <c r="B83" t="inlineStr">
        <is>
          <t>极</t>
        </is>
      </c>
      <c r="C83" t="inlineStr">
        <is>
          <t>extremo, supremo</t>
        </is>
      </c>
      <c r="D83" t="inlineStr">
        <is>
          <t>King's</t>
        </is>
      </c>
      <c r="F83" s="2" t="inlineStr">
        <is>
          <t>do Zênite</t>
        </is>
      </c>
      <c r="G83" s="3">
        <f>IF(F83="","","Técnica Sólida "&amp;F83)</f>
        <v/>
      </c>
    </row>
    <row r="84">
      <c r="A84" t="n">
        <v>83</v>
      </c>
      <c r="B84" t="inlineStr">
        <is>
          <t>沧</t>
        </is>
      </c>
      <c r="C84" t="inlineStr">
        <is>
          <t>mar vasto, verde-mar</t>
        </is>
      </c>
      <c r="D84" t="inlineStr">
        <is>
          <t>Seeker's</t>
        </is>
      </c>
      <c r="F84" s="2" t="inlineStr">
        <is>
          <t>do Mar Vasto</t>
        </is>
      </c>
      <c r="G84" s="3">
        <f>IF(F84="","","Técnica Sólida "&amp;F84)</f>
        <v/>
      </c>
    </row>
    <row r="85">
      <c r="A85" t="n">
        <v>84</v>
      </c>
      <c r="B85" t="inlineStr">
        <is>
          <t>元</t>
        </is>
      </c>
      <c r="C85" t="inlineStr">
        <is>
          <t>origem, primordial</t>
        </is>
      </c>
      <c r="D85" t="inlineStr">
        <is>
          <t>Origin's</t>
        </is>
      </c>
      <c r="F85" s="2" t="inlineStr">
        <is>
          <t>da Origem</t>
        </is>
      </c>
      <c r="G85" s="3">
        <f>IF(F85="","","Técnica Sólida "&amp;F85)</f>
        <v/>
      </c>
    </row>
    <row r="86">
      <c r="A86" t="n">
        <v>85</v>
      </c>
      <c r="B86" t="inlineStr">
        <is>
          <t>融</t>
        </is>
      </c>
      <c r="C86" t="inlineStr">
        <is>
          <t>fundir, derreter</t>
        </is>
      </c>
      <c r="D86" t="inlineStr">
        <is>
          <t>Melter's</t>
        </is>
      </c>
      <c r="F86" s="2" t="inlineStr">
        <is>
          <t>da Fusão</t>
        </is>
      </c>
      <c r="G86" s="3">
        <f>IF(F86="","","Técnica Sólida "&amp;F86)</f>
        <v/>
      </c>
    </row>
    <row r="87">
      <c r="A87" t="n">
        <v>86</v>
      </c>
      <c r="B87" t="inlineStr">
        <is>
          <t>轰</t>
        </is>
      </c>
      <c r="C87" t="inlineStr">
        <is>
          <t>estrondo, bombardear</t>
        </is>
      </c>
      <c r="D87" t="inlineStr">
        <is>
          <t>Boomer's</t>
        </is>
      </c>
      <c r="F87" s="2" t="inlineStr">
        <is>
          <t>do Estrondo</t>
        </is>
      </c>
      <c r="G87" s="3">
        <f>IF(F87="","","Técnica Sólida "&amp;F87)</f>
        <v/>
      </c>
    </row>
    <row r="88">
      <c r="A88" t="n">
        <v>87</v>
      </c>
      <c r="B88" t="inlineStr">
        <is>
          <t>独</t>
        </is>
      </c>
      <c r="C88" t="inlineStr">
        <is>
          <t>só, único</t>
        </is>
      </c>
      <c r="D88" t="inlineStr">
        <is>
          <t>Loner's</t>
        </is>
      </c>
      <c r="F88" s="2" t="inlineStr">
        <is>
          <t>do Solitário</t>
        </is>
      </c>
      <c r="G88" s="3">
        <f>IF(F88="","","Técnica Sólida "&amp;F88)</f>
        <v/>
      </c>
    </row>
    <row r="89">
      <c r="A89" t="n">
        <v>88</v>
      </c>
      <c r="B89" t="inlineStr">
        <is>
          <t>折</t>
        </is>
      </c>
      <c r="C89" t="inlineStr">
        <is>
          <t>quebrar, dobrar</t>
        </is>
      </c>
      <c r="D89" t="inlineStr">
        <is>
          <t>Refraction's</t>
        </is>
      </c>
      <c r="F89" s="2" t="inlineStr">
        <is>
          <t>da Dobra</t>
        </is>
      </c>
      <c r="G89" s="3">
        <f>IF(F89="","","Técnica Sólida "&amp;F89)</f>
        <v/>
      </c>
    </row>
    <row r="90">
      <c r="A90" t="n">
        <v>89</v>
      </c>
      <c r="B90" t="inlineStr">
        <is>
          <t>阳</t>
        </is>
      </c>
      <c r="C90" t="inlineStr">
        <is>
          <t>sol, yang</t>
        </is>
      </c>
      <c r="D90" t="inlineStr">
        <is>
          <t>Sun's</t>
        </is>
      </c>
      <c r="F90" s="2" t="inlineStr">
        <is>
          <t>do Yang</t>
        </is>
      </c>
      <c r="G90" s="3">
        <f>IF(F90="","","Técnica Sólida "&amp;F90)</f>
        <v/>
      </c>
    </row>
    <row r="91">
      <c r="A91" t="n">
        <v>90</v>
      </c>
      <c r="B91" t="inlineStr">
        <is>
          <t>雨</t>
        </is>
      </c>
      <c r="C91" t="inlineStr">
        <is>
          <t>chuva</t>
        </is>
      </c>
      <c r="D91" t="inlineStr">
        <is>
          <t>Rain's</t>
        </is>
      </c>
      <c r="F91" s="2" t="inlineStr">
        <is>
          <t>da Chuva</t>
        </is>
      </c>
      <c r="G91" s="3">
        <f>IF(F91="","","Técnica Sólida "&amp;F91)</f>
        <v/>
      </c>
    </row>
    <row r="92">
      <c r="A92" t="n">
        <v>91</v>
      </c>
      <c r="B92" t="inlineStr">
        <is>
          <t>追</t>
        </is>
      </c>
      <c r="C92" t="inlineStr">
        <is>
          <t>perseguir</t>
        </is>
      </c>
      <c r="D92" t="inlineStr">
        <is>
          <t>Chaser's</t>
        </is>
      </c>
      <c r="F92" s="2" t="inlineStr">
        <is>
          <t>da Perseguição</t>
        </is>
      </c>
      <c r="G92" s="3">
        <f>IF(F92="","","Técnica Sólida "&amp;F92)</f>
        <v/>
      </c>
    </row>
    <row r="93">
      <c r="A93" t="n">
        <v>92</v>
      </c>
      <c r="B93" t="inlineStr">
        <is>
          <t>白</t>
        </is>
      </c>
      <c r="C93" t="inlineStr">
        <is>
          <t>branco</t>
        </is>
      </c>
      <c r="D93" t="inlineStr">
        <is>
          <t>Washer's</t>
        </is>
      </c>
      <c r="F93" s="2" t="inlineStr">
        <is>
          <t>da Alvura</t>
        </is>
      </c>
      <c r="G93" s="3">
        <f>IF(F93="","","Técnica Sólida "&amp;F93)</f>
        <v/>
      </c>
    </row>
    <row r="94">
      <c r="A94" t="n">
        <v>93</v>
      </c>
      <c r="B94" t="inlineStr">
        <is>
          <t>夜</t>
        </is>
      </c>
      <c r="C94" t="inlineStr">
        <is>
          <t>noite</t>
        </is>
      </c>
      <c r="D94" t="inlineStr">
        <is>
          <t>Night's</t>
        </is>
      </c>
      <c r="F94" s="2" t="inlineStr">
        <is>
          <t>da Noite</t>
        </is>
      </c>
      <c r="G94" s="3">
        <f>IF(F94="","","Técnica Sólida "&amp;F94)</f>
        <v/>
      </c>
    </row>
    <row r="95">
      <c r="A95" t="n">
        <v>94</v>
      </c>
      <c r="B95" t="inlineStr">
        <is>
          <t>吞</t>
        </is>
      </c>
      <c r="C95" t="inlineStr">
        <is>
          <t>engolir</t>
        </is>
      </c>
      <c r="D95" t="inlineStr">
        <is>
          <t>Devourer's</t>
        </is>
      </c>
      <c r="F95" s="2" t="inlineStr">
        <is>
          <t>da Fome</t>
        </is>
      </c>
      <c r="G95" s="3">
        <f>IF(F95="","","Técnica Sólida "&amp;F95)</f>
        <v/>
      </c>
    </row>
    <row r="96">
      <c r="A96" t="n">
        <v>95</v>
      </c>
      <c r="B96" t="inlineStr">
        <is>
          <t>迅</t>
        </is>
      </c>
      <c r="C96" t="inlineStr">
        <is>
          <t>rápido</t>
        </is>
      </c>
      <c r="D96" t="inlineStr">
        <is>
          <t>Haste's</t>
        </is>
      </c>
      <c r="F96" s="2" t="inlineStr">
        <is>
          <t>da Rapidez</t>
        </is>
      </c>
      <c r="G96" s="3">
        <f>IF(F96="","","Técnica Sólida "&amp;F96)</f>
        <v/>
      </c>
    </row>
    <row r="97">
      <c r="A97" t="n">
        <v>96</v>
      </c>
      <c r="B97" t="inlineStr">
        <is>
          <t>溟</t>
        </is>
      </c>
      <c r="C97" t="inlineStr">
        <is>
          <t>mar escuro e profundo</t>
        </is>
      </c>
      <c r="D97" t="inlineStr">
        <is>
          <t>Hell's</t>
        </is>
      </c>
      <c r="F97" s="2" t="inlineStr">
        <is>
          <t>do Mar Escuro</t>
        </is>
      </c>
      <c r="G97" s="3">
        <f>IF(F97="","","Técnica Sólida "&amp;F97)</f>
        <v/>
      </c>
    </row>
    <row r="98">
      <c r="A98" t="n">
        <v>97</v>
      </c>
      <c r="B98" t="inlineStr">
        <is>
          <t>凌</t>
        </is>
      </c>
      <c r="C98" t="inlineStr">
        <is>
          <t>sobrepujar, gélido</t>
        </is>
      </c>
      <c r="D98" t="inlineStr">
        <is>
          <t>Razor's</t>
        </is>
      </c>
      <c r="F98" s="2" t="inlineStr">
        <is>
          <t>da Geada</t>
        </is>
      </c>
      <c r="G98" s="3">
        <f>IF(F98="","","Técnica Sólida "&amp;F98)</f>
        <v/>
      </c>
    </row>
    <row r="99">
      <c r="A99" t="n">
        <v>98</v>
      </c>
      <c r="B99" t="inlineStr">
        <is>
          <t>燎</t>
        </is>
      </c>
      <c r="C99" t="inlineStr">
        <is>
          <t>incendiar</t>
        </is>
      </c>
      <c r="D99" t="inlineStr">
        <is>
          <t>Blaze's</t>
        </is>
      </c>
      <c r="F99" s="2" t="inlineStr">
        <is>
          <t>do Incêndio</t>
        </is>
      </c>
      <c r="G99" s="3">
        <f>IF(F99="","","Técnica Sólida "&amp;F99)</f>
        <v/>
      </c>
    </row>
    <row r="100">
      <c r="A100" t="n">
        <v>99</v>
      </c>
      <c r="B100" t="inlineStr">
        <is>
          <t>影</t>
        </is>
      </c>
      <c r="C100" t="inlineStr">
        <is>
          <t>sombra</t>
        </is>
      </c>
      <c r="D100" t="inlineStr">
        <is>
          <t>Shadow's</t>
        </is>
      </c>
      <c r="F100" s="2" t="inlineStr">
        <is>
          <t>da Sombra</t>
        </is>
      </c>
      <c r="G100" s="3">
        <f>IF(F100="","","Técnica Sólida "&amp;F100)</f>
        <v/>
      </c>
    </row>
    <row r="101">
      <c r="A101" t="n">
        <v>100</v>
      </c>
      <c r="B101" t="inlineStr">
        <is>
          <t>霸</t>
        </is>
      </c>
      <c r="C101" t="inlineStr">
        <is>
          <t>tirano, supremacia</t>
        </is>
      </c>
      <c r="D101" t="inlineStr">
        <is>
          <t>Emperor's</t>
        </is>
      </c>
      <c r="F101" s="2" t="inlineStr">
        <is>
          <t>da Supremacia</t>
        </is>
      </c>
      <c r="G101" s="3">
        <f>IF(F101="","","Técnica Sólida "&amp;F101)</f>
        <v/>
      </c>
    </row>
    <row r="102">
      <c r="A102" t="n">
        <v>101</v>
      </c>
      <c r="B102" t="inlineStr">
        <is>
          <t>凛</t>
        </is>
      </c>
      <c r="C102" t="inlineStr">
        <is>
          <t>gélido, imponente</t>
        </is>
      </c>
      <c r="D102" t="inlineStr">
        <is>
          <t>Edge's</t>
        </is>
      </c>
      <c r="F102" s="2" t="inlineStr">
        <is>
          <t>da Imponência</t>
        </is>
      </c>
      <c r="G102" s="3">
        <f>IF(F102="","","Técnica Sólida "&amp;F102)</f>
        <v/>
      </c>
    </row>
    <row r="103">
      <c r="A103" t="n">
        <v>102</v>
      </c>
      <c r="B103" t="inlineStr">
        <is>
          <t>刹</t>
        </is>
      </c>
      <c r="C103" t="inlineStr">
        <is>
          <t>instante</t>
        </is>
      </c>
      <c r="D103" t="inlineStr">
        <is>
          <t>Killer's</t>
        </is>
      </c>
      <c r="F103" s="2" t="inlineStr">
        <is>
          <t>do Lampejo</t>
        </is>
      </c>
      <c r="G103" s="3">
        <f>IF(F103="","","Técnica Sólida "&amp;F103)</f>
        <v/>
      </c>
    </row>
    <row r="104">
      <c r="A104" t="n">
        <v>103</v>
      </c>
      <c r="B104" t="inlineStr">
        <is>
          <t>清</t>
        </is>
      </c>
      <c r="C104" t="inlineStr">
        <is>
          <t>puro, límpido</t>
        </is>
      </c>
      <c r="D104" t="inlineStr">
        <is>
          <t>Blessed's</t>
        </is>
      </c>
      <c r="F104" s="2" t="inlineStr">
        <is>
          <t>da Pureza</t>
        </is>
      </c>
      <c r="G104" s="3">
        <f>IF(F104="","","Técnica Sólida "&amp;F104)</f>
        <v/>
      </c>
    </row>
    <row r="105">
      <c r="A105" t="n">
        <v>104</v>
      </c>
      <c r="B105" t="inlineStr">
        <is>
          <t>啸</t>
        </is>
      </c>
      <c r="C105" t="inlineStr">
        <is>
          <t>rugir, uivar</t>
        </is>
      </c>
      <c r="D105" t="inlineStr">
        <is>
          <t>Roar's</t>
        </is>
      </c>
      <c r="F105" s="2" t="inlineStr">
        <is>
          <t>do Uivo</t>
        </is>
      </c>
      <c r="G105" s="3">
        <f>IF(F105="","","Técnica Sólida "&amp;F105)</f>
        <v/>
      </c>
    </row>
    <row r="106">
      <c r="A106" t="n">
        <v>105</v>
      </c>
      <c r="B106" t="inlineStr">
        <is>
          <t>腾</t>
        </is>
      </c>
      <c r="C106" t="inlineStr">
        <is>
          <t>erguer-se, galopar</t>
        </is>
      </c>
      <c r="D106" t="inlineStr">
        <is>
          <t>Rider's</t>
        </is>
      </c>
      <c r="F106" s="2" t="inlineStr">
        <is>
          <t>do Galope</t>
        </is>
      </c>
      <c r="G106" s="3">
        <f>IF(F106="","","Técnica Sólida "&amp;F106)</f>
        <v/>
      </c>
    </row>
    <row r="107">
      <c r="A107" t="n">
        <v>106</v>
      </c>
      <c r="B107" t="inlineStr">
        <is>
          <t>惊</t>
        </is>
      </c>
      <c r="C107" t="inlineStr">
        <is>
          <t>espanto, assustar</t>
        </is>
      </c>
      <c r="D107" t="inlineStr">
        <is>
          <t>Fear's</t>
        </is>
      </c>
      <c r="F107" s="2" t="inlineStr">
        <is>
          <t>do Espanto</t>
        </is>
      </c>
      <c r="G107" s="3">
        <f>IF(F107="","","Técnica Sólida "&amp;F107)</f>
        <v/>
      </c>
    </row>
    <row r="108">
      <c r="A108" t="n">
        <v>107</v>
      </c>
      <c r="B108" t="inlineStr">
        <is>
          <t>念</t>
        </is>
      </c>
      <c r="C108" t="inlineStr">
        <is>
          <t>pensamento</t>
        </is>
      </c>
      <c r="D108" t="inlineStr">
        <is>
          <t>Piner's</t>
        </is>
      </c>
      <c r="F108" s="2" t="inlineStr">
        <is>
          <t>do Pensamento</t>
        </is>
      </c>
      <c r="G108" s="3">
        <f>IF(F108="","","Técnica Sólida "&amp;F108)</f>
        <v/>
      </c>
    </row>
    <row r="109">
      <c r="A109" t="n">
        <v>108</v>
      </c>
      <c r="B109" t="inlineStr">
        <is>
          <t>遮</t>
        </is>
      </c>
      <c r="C109" t="inlineStr">
        <is>
          <t>cobrir, ocultar</t>
        </is>
      </c>
      <c r="D109" t="inlineStr">
        <is>
          <t>Blocker's</t>
        </is>
      </c>
      <c r="F109" s="2" t="inlineStr">
        <is>
          <t>do Eclipse</t>
        </is>
      </c>
      <c r="G109" s="3">
        <f>IF(F109="","","Técnica Sólida "&amp;F109)</f>
        <v/>
      </c>
    </row>
    <row r="110">
      <c r="A110" t="n">
        <v>109</v>
      </c>
      <c r="B110" t="inlineStr">
        <is>
          <t>远</t>
        </is>
      </c>
      <c r="C110" t="inlineStr">
        <is>
          <t>distante</t>
        </is>
      </c>
      <c r="D110" t="inlineStr">
        <is>
          <t>Foreigner's</t>
        </is>
      </c>
      <c r="F110" s="2" t="inlineStr">
        <is>
          <t>do Horizonte</t>
        </is>
      </c>
      <c r="G110" s="3">
        <f>IF(F110="","","Técnica Sólida "&amp;F110)</f>
        <v/>
      </c>
    </row>
    <row r="111">
      <c r="A111" t="n">
        <v>110</v>
      </c>
      <c r="B111" t="inlineStr">
        <is>
          <t>陨</t>
        </is>
      </c>
      <c r="C111" t="inlineStr">
        <is>
          <t>cair (como meteoro)</t>
        </is>
      </c>
      <c r="D111" t="inlineStr">
        <is>
          <t>Dead's</t>
        </is>
      </c>
      <c r="F111" s="2" t="inlineStr">
        <is>
          <t>do Meteoro</t>
        </is>
      </c>
      <c r="G111" s="3">
        <f>IF(F111="","","Técnica Sólida "&amp;F111)</f>
        <v/>
      </c>
    </row>
    <row r="112">
      <c r="A112" t="n">
        <v>111</v>
      </c>
      <c r="B112" t="inlineStr">
        <is>
          <t>冲</t>
        </is>
      </c>
      <c r="C112" t="inlineStr">
        <is>
          <t>arremeter</t>
        </is>
      </c>
      <c r="D112" t="inlineStr">
        <is>
          <t>Rusher's</t>
        </is>
      </c>
      <c r="F112" s="2" t="inlineStr">
        <is>
          <t>da Arremetida</t>
        </is>
      </c>
      <c r="G112" s="3">
        <f>IF(F112="","","Técnica Sólida "&amp;F112)</f>
        <v/>
      </c>
    </row>
    <row r="113">
      <c r="A113" t="n">
        <v>112</v>
      </c>
      <c r="B113" t="inlineStr">
        <is>
          <t>奔</t>
        </is>
      </c>
      <c r="C113" t="inlineStr">
        <is>
          <t>correr, galopar</t>
        </is>
      </c>
      <c r="D113" t="inlineStr">
        <is>
          <t>Runner's</t>
        </is>
      </c>
      <c r="F113" s="2" t="inlineStr">
        <is>
          <t>da Corrida</t>
        </is>
      </c>
      <c r="G113" s="3">
        <f>IF(F113="","","Técnica Sólida "&amp;F113)</f>
        <v/>
      </c>
    </row>
    <row r="114">
      <c r="A114" t="n">
        <v>113</v>
      </c>
      <c r="B114" t="inlineStr">
        <is>
          <t>烈</t>
        </is>
      </c>
      <c r="C114" t="inlineStr">
        <is>
          <t>feroz, intenso</t>
        </is>
      </c>
      <c r="D114" t="inlineStr">
        <is>
          <t>Carp's</t>
        </is>
      </c>
      <c r="E114" t="inlineStr">
        <is>
          <t>o inglês do jogo não segue o hanzi daqui em diante (lista desalinhada: pecados, virtudes etc.)</t>
        </is>
      </c>
      <c r="F114" s="2" t="inlineStr">
        <is>
          <t>da Ferocidade</t>
        </is>
      </c>
      <c r="G114" s="3">
        <f>IF(F114="","","Técnica Sólida "&amp;F114)</f>
        <v/>
      </c>
    </row>
    <row r="115">
      <c r="A115" t="n">
        <v>114</v>
      </c>
      <c r="B115" t="inlineStr">
        <is>
          <t>半</t>
        </is>
      </c>
      <c r="C115" t="inlineStr">
        <is>
          <t>metade</t>
        </is>
      </c>
      <c r="D115" t="inlineStr">
        <is>
          <t>Wind's</t>
        </is>
      </c>
      <c r="E115" t="inlineStr">
        <is>
          <t>o inglês do jogo não segue o hanzi daqui em diante (lista desalinhada: pecados, virtudes etc.)</t>
        </is>
      </c>
      <c r="F115" s="2" t="inlineStr">
        <is>
          <t>da Metade</t>
        </is>
      </c>
      <c r="G115" s="3">
        <f>IF(F115="","","Técnica Sólida "&amp;F115)</f>
        <v/>
      </c>
    </row>
    <row r="116">
      <c r="A116" t="n">
        <v>115</v>
      </c>
      <c r="B116" t="inlineStr">
        <is>
          <t>重</t>
        </is>
      </c>
      <c r="C116" t="inlineStr">
        <is>
          <t>pesado</t>
        </is>
      </c>
      <c r="D116" t="inlineStr">
        <is>
          <t>Earth's</t>
        </is>
      </c>
      <c r="E116" t="inlineStr">
        <is>
          <t>o inglês do jogo não segue o hanzi daqui em diante (lista desalinhada: pecados, virtudes etc.)</t>
        </is>
      </c>
      <c r="F116" s="2" t="inlineStr">
        <is>
          <t>do Peso</t>
        </is>
      </c>
      <c r="G116" s="3">
        <f>IF(F116="","","Técnica Sólida "&amp;F116)</f>
        <v/>
      </c>
    </row>
    <row r="117">
      <c r="A117" t="n">
        <v>116</v>
      </c>
      <c r="B117" t="inlineStr">
        <is>
          <t>太</t>
        </is>
      </c>
      <c r="C117" t="inlineStr">
        <is>
          <t>supremo, grande</t>
        </is>
      </c>
      <c r="D117" t="inlineStr">
        <is>
          <t>Metal's</t>
        </is>
      </c>
      <c r="E117" t="inlineStr">
        <is>
          <t>o inglês do jogo não segue o hanzi daqui em diante (lista desalinhada: pecados, virtudes etc.)</t>
        </is>
      </c>
      <c r="F117" s="2" t="inlineStr">
        <is>
          <t>do Supremo</t>
        </is>
      </c>
      <c r="G117" s="3">
        <f>IF(F117="","","Técnica Sólida "&amp;F117)</f>
        <v/>
      </c>
    </row>
    <row r="118">
      <c r="A118" t="n">
        <v>117</v>
      </c>
      <c r="B118" t="inlineStr">
        <is>
          <t>弥</t>
        </is>
      </c>
      <c r="C118" t="inlineStr">
        <is>
          <t>preencher, vasto</t>
        </is>
      </c>
      <c r="D118" t="inlineStr">
        <is>
          <t>Fire's</t>
        </is>
      </c>
      <c r="E118" t="inlineStr">
        <is>
          <t>o inglês do jogo não segue o hanzi daqui em diante (lista desalinhada: pecados, virtudes etc.)</t>
        </is>
      </c>
      <c r="F118" s="2" t="inlineStr">
        <is>
          <t>da Imensidão</t>
        </is>
      </c>
      <c r="G118" s="3">
        <f>IF(F118="","","Técnica Sólida "&amp;F118)</f>
        <v/>
      </c>
    </row>
    <row r="119">
      <c r="A119" t="n">
        <v>118</v>
      </c>
      <c r="B119" t="inlineStr">
        <is>
          <t>漫</t>
        </is>
      </c>
      <c r="C119" t="inlineStr">
        <is>
          <t>transbordar, vasto</t>
        </is>
      </c>
      <c r="D119" t="inlineStr">
        <is>
          <t>Water's</t>
        </is>
      </c>
      <c r="E119" t="inlineStr">
        <is>
          <t>o inglês do jogo não segue o hanzi daqui em diante (lista desalinhada: pecados, virtudes etc.)</t>
        </is>
      </c>
      <c r="F119" s="2" t="inlineStr">
        <is>
          <t>do Transbordo</t>
        </is>
      </c>
      <c r="G119" s="3">
        <f>IF(F119="","","Técnica Sólida "&amp;F119)</f>
        <v/>
      </c>
    </row>
    <row r="120">
      <c r="A120" t="n">
        <v>119</v>
      </c>
      <c r="B120" t="inlineStr">
        <is>
          <t>诛</t>
        </is>
      </c>
      <c r="C120" t="inlineStr">
        <is>
          <t>executar, punir</t>
        </is>
      </c>
      <c r="D120" t="inlineStr">
        <is>
          <t>Essence's</t>
        </is>
      </c>
      <c r="E120" t="inlineStr">
        <is>
          <t>o inglês do jogo não segue o hanzi daqui em diante (lista desalinhada: pecados, virtudes etc.)</t>
        </is>
      </c>
      <c r="F120" s="2" t="inlineStr">
        <is>
          <t>da Execução</t>
        </is>
      </c>
      <c r="G120" s="3">
        <f>IF(F120="","","Técnica Sólida "&amp;F120)</f>
        <v/>
      </c>
    </row>
    <row r="121">
      <c r="A121" t="n">
        <v>120</v>
      </c>
      <c r="B121" t="inlineStr">
        <is>
          <t>逆</t>
        </is>
      </c>
      <c r="C121" t="inlineStr">
        <is>
          <t>inverso, contra a corrente</t>
        </is>
      </c>
      <c r="D121" t="inlineStr">
        <is>
          <t>Pearl's</t>
        </is>
      </c>
      <c r="E121" t="inlineStr">
        <is>
          <t>o inglês do jogo não segue o hanzi daqui em diante (lista desalinhada: pecados, virtudes etc.)</t>
        </is>
      </c>
      <c r="F121" s="2" t="inlineStr">
        <is>
          <t>do Inverso</t>
        </is>
      </c>
      <c r="G121" s="3">
        <f>IF(F121="","","Técnica Sólida "&amp;F121)</f>
        <v/>
      </c>
    </row>
    <row r="122">
      <c r="A122" t="n">
        <v>121</v>
      </c>
      <c r="B122" t="inlineStr">
        <is>
          <t>劈</t>
        </is>
      </c>
      <c r="C122" t="inlineStr">
        <is>
          <t>fender (de cima a baixo)</t>
        </is>
      </c>
      <c r="D122" t="inlineStr">
        <is>
          <t>Wrath's</t>
        </is>
      </c>
      <c r="E122" t="inlineStr">
        <is>
          <t>o inglês do jogo não segue o hanzi daqui em diante (lista desalinhada: pecados, virtudes etc.)</t>
        </is>
      </c>
      <c r="F122" s="2" t="inlineStr">
        <is>
          <t>do Fendimento</t>
        </is>
      </c>
      <c r="G122" s="3">
        <f>IF(F122="","","Técnica Sólida "&amp;F122)</f>
        <v/>
      </c>
    </row>
    <row r="123">
      <c r="A123" t="n">
        <v>122</v>
      </c>
      <c r="B123" t="inlineStr">
        <is>
          <t>卷</t>
        </is>
      </c>
      <c r="C123" t="inlineStr">
        <is>
          <t>enrolar, turbilhão</t>
        </is>
      </c>
      <c r="D123" t="inlineStr">
        <is>
          <t>Envy's</t>
        </is>
      </c>
      <c r="E123" t="inlineStr">
        <is>
          <t>o inglês do jogo não segue o hanzi daqui em diante (lista desalinhada: pecados, virtudes etc.)</t>
        </is>
      </c>
      <c r="F123" s="2" t="inlineStr">
        <is>
          <t>do Turbilhão</t>
        </is>
      </c>
      <c r="G123" s="3">
        <f>IF(F123="","","Técnica Sólida "&amp;F123)</f>
        <v/>
      </c>
    </row>
    <row r="124">
      <c r="A124" t="n">
        <v>123</v>
      </c>
      <c r="B124" t="inlineStr">
        <is>
          <t>荡</t>
        </is>
      </c>
      <c r="C124" t="inlineStr">
        <is>
          <t>varrer, agitar</t>
        </is>
      </c>
      <c r="D124" t="inlineStr">
        <is>
          <t>Lust's</t>
        </is>
      </c>
      <c r="E124" t="inlineStr">
        <is>
          <t>o inglês do jogo não segue o hanzi daqui em diante (lista desalinhada: pecados, virtudes etc.)</t>
        </is>
      </c>
      <c r="F124" s="2" t="inlineStr">
        <is>
          <t>da Tormenta</t>
        </is>
      </c>
      <c r="G124" s="3">
        <f>IF(F124="","","Técnica Sólida "&amp;F124)</f>
        <v/>
      </c>
    </row>
    <row r="125">
      <c r="A125" t="n">
        <v>124</v>
      </c>
      <c r="B125" t="inlineStr">
        <is>
          <t>横</t>
        </is>
      </c>
      <c r="C125" t="inlineStr">
        <is>
          <t>transversal, desenfreado</t>
        </is>
      </c>
      <c r="D125" t="inlineStr">
        <is>
          <t>Greed's</t>
        </is>
      </c>
      <c r="E125" t="inlineStr">
        <is>
          <t>o inglês do jogo não segue o hanzi daqui em diante (lista desalinhada: pecados, virtudes etc.)</t>
        </is>
      </c>
      <c r="F125" s="2" t="inlineStr">
        <is>
          <t>do Desenfreado</t>
        </is>
      </c>
      <c r="G125" s="3">
        <f>IF(F125="","","Técnica Sólida "&amp;F125)</f>
        <v/>
      </c>
    </row>
    <row r="126">
      <c r="A126" t="n">
        <v>125</v>
      </c>
      <c r="B126" t="inlineStr">
        <is>
          <t>柔</t>
        </is>
      </c>
      <c r="C126" t="inlineStr">
        <is>
          <t>suave</t>
        </is>
      </c>
      <c r="D126" t="inlineStr">
        <is>
          <t>Pride's</t>
        </is>
      </c>
      <c r="E126" t="inlineStr">
        <is>
          <t>o inglês do jogo não segue o hanzi daqui em diante (lista desalinhada: pecados, virtudes etc.)</t>
        </is>
      </c>
      <c r="F126" s="2" t="inlineStr">
        <is>
          <t>da Suavidade</t>
        </is>
      </c>
      <c r="G126" s="3">
        <f>IF(F126="","","Técnica Sólida "&amp;F126)</f>
        <v/>
      </c>
    </row>
    <row r="127">
      <c r="A127" t="n">
        <v>126</v>
      </c>
      <c r="B127" t="inlineStr">
        <is>
          <t>禅</t>
        </is>
      </c>
      <c r="C127" t="inlineStr">
        <is>
          <t>zen, meditação</t>
        </is>
      </c>
      <c r="D127" t="inlineStr">
        <is>
          <t>Gluttony's</t>
        </is>
      </c>
      <c r="E127" t="inlineStr">
        <is>
          <t>o inglês do jogo não segue o hanzi daqui em diante (lista desalinhada: pecados, virtudes etc.)</t>
        </is>
      </c>
      <c r="F127" s="2" t="inlineStr">
        <is>
          <t>do Zen</t>
        </is>
      </c>
      <c r="G127" s="3">
        <f>IF(F127="","","Técnica Sólida "&amp;F127)</f>
        <v/>
      </c>
    </row>
    <row r="128">
      <c r="A128" t="n">
        <v>127</v>
      </c>
      <c r="B128" t="inlineStr">
        <is>
          <t>仙</t>
        </is>
      </c>
      <c r="C128" t="inlineStr">
        <is>
          <t>imortal</t>
        </is>
      </c>
      <c r="D128" t="inlineStr">
        <is>
          <t>Sloth's</t>
        </is>
      </c>
      <c r="E128" t="inlineStr">
        <is>
          <t>o inglês do jogo não segue o hanzi daqui em diante (lista desalinhada: pecados, virtudes etc.)</t>
        </is>
      </c>
      <c r="F128" s="2" t="inlineStr">
        <is>
          <t>do Imortal</t>
        </is>
      </c>
      <c r="G128" s="3">
        <f>IF(F128="","","Técnica Sólida "&amp;F128)</f>
        <v/>
      </c>
    </row>
    <row r="129">
      <c r="A129" t="n">
        <v>128</v>
      </c>
      <c r="B129" t="inlineStr">
        <is>
          <t>炙</t>
        </is>
      </c>
      <c r="C129" t="inlineStr">
        <is>
          <t>tostar, assar</t>
        </is>
      </c>
      <c r="D129" t="inlineStr">
        <is>
          <t>Prudence's</t>
        </is>
      </c>
      <c r="E129" t="inlineStr">
        <is>
          <t>o inglês do jogo não segue o hanzi daqui em diante (lista desalinhada: pecados, virtudes etc.)</t>
        </is>
      </c>
      <c r="F129" s="2" t="inlineStr">
        <is>
          <t>do Braseiro</t>
        </is>
      </c>
      <c r="G129" s="3">
        <f>IF(F129="","","Técnica Sólida "&amp;F129)</f>
        <v/>
      </c>
    </row>
    <row r="130">
      <c r="A130" t="n">
        <v>129</v>
      </c>
      <c r="B130" t="inlineStr">
        <is>
          <t>狱</t>
        </is>
      </c>
      <c r="C130" t="inlineStr">
        <is>
          <t>prisão, inferno</t>
        </is>
      </c>
      <c r="D130" t="inlineStr">
        <is>
          <t>Justice's</t>
        </is>
      </c>
      <c r="E130" t="inlineStr">
        <is>
          <t>o inglês do jogo não segue o hanzi daqui em diante (lista desalinhada: pecados, virtudes etc.)</t>
        </is>
      </c>
      <c r="F130" s="2" t="inlineStr">
        <is>
          <t>do Inferno</t>
        </is>
      </c>
      <c r="G130" s="3">
        <f>IF(F130="","","Técnica Sólida "&amp;F130)</f>
        <v/>
      </c>
    </row>
    <row r="131">
      <c r="A131" t="n">
        <v>130</v>
      </c>
      <c r="B131" t="inlineStr">
        <is>
          <t>灾</t>
        </is>
      </c>
      <c r="C131" t="inlineStr">
        <is>
          <t>desastre</t>
        </is>
      </c>
      <c r="D131" t="inlineStr">
        <is>
          <t>Fortitude's</t>
        </is>
      </c>
      <c r="E131" t="inlineStr">
        <is>
          <t>o inglês do jogo não segue o hanzi daqui em diante (lista desalinhada: pecados, virtudes etc.)</t>
        </is>
      </c>
      <c r="F131" s="2" t="inlineStr">
        <is>
          <t>do Desastre</t>
        </is>
      </c>
      <c r="G131" s="3">
        <f>IF(F131="","","Técnica Sólida "&amp;F131)</f>
        <v/>
      </c>
    </row>
    <row r="132">
      <c r="A132" t="n">
        <v>131</v>
      </c>
      <c r="B132" t="inlineStr">
        <is>
          <t>阴</t>
        </is>
      </c>
      <c r="C132" t="inlineStr">
        <is>
          <t>sombra, yin</t>
        </is>
      </c>
      <c r="D132" t="inlineStr">
        <is>
          <t>Temperance's</t>
        </is>
      </c>
      <c r="E132" t="inlineStr">
        <is>
          <t>o inglês do jogo não segue o hanzi daqui em diante (lista desalinhada: pecados, virtudes etc.)</t>
        </is>
      </c>
      <c r="F132" s="2" t="inlineStr">
        <is>
          <t>do Yin</t>
        </is>
      </c>
      <c r="G132" s="3">
        <f>IF(F132="","","Técnica Sólida "&amp;F132)</f>
        <v/>
      </c>
    </row>
    <row r="133">
      <c r="A133" t="n">
        <v>132</v>
      </c>
      <c r="B133" t="inlineStr">
        <is>
          <t>朔</t>
        </is>
      </c>
      <c r="C133" t="inlineStr">
        <is>
          <t>lua nova, norte</t>
        </is>
      </c>
      <c r="D133" t="inlineStr">
        <is>
          <t>Chastity's</t>
        </is>
      </c>
      <c r="E133" t="inlineStr">
        <is>
          <t>o inglês do jogo não segue o hanzi daqui em diante (lista desalinhada: pecados, virtudes etc.)</t>
        </is>
      </c>
      <c r="F133" s="2" t="inlineStr">
        <is>
          <t>da Lua Nova</t>
        </is>
      </c>
      <c r="G133" s="3">
        <f>IF(F133="","","Técnica Sólida "&amp;F133)</f>
        <v/>
      </c>
    </row>
    <row r="134">
      <c r="A134" t="n">
        <v>133</v>
      </c>
      <c r="B134" t="inlineStr">
        <is>
          <t>罡</t>
        </is>
      </c>
      <c r="C134" t="inlineStr">
        <is>
          <t>força celestial (Tiangang)</t>
        </is>
      </c>
      <c r="D134" t="inlineStr">
        <is>
          <t>Charity's</t>
        </is>
      </c>
      <c r="E134" t="inlineStr">
        <is>
          <t>o inglês do jogo não segue o hanzi daqui em diante (lista desalinhada: pecados, virtudes etc.)</t>
        </is>
      </c>
      <c r="F134" s="2" t="inlineStr">
        <is>
          <t>da Ursa Maior</t>
        </is>
      </c>
      <c r="G134" s="3">
        <f>IF(F134="","","Técnica Sólida "&amp;F134)</f>
        <v/>
      </c>
    </row>
    <row r="135">
      <c r="A135" t="n">
        <v>134</v>
      </c>
      <c r="B135" t="inlineStr">
        <is>
          <t>朽</t>
        </is>
      </c>
      <c r="C135" t="inlineStr">
        <is>
          <t>apodrecer</t>
        </is>
      </c>
      <c r="D135" t="inlineStr">
        <is>
          <t>Diligence's</t>
        </is>
      </c>
      <c r="E135" t="inlineStr">
        <is>
          <t>o inglês do jogo não segue o hanzi daqui em diante (lista desalinhada: pecados, virtudes etc.)</t>
        </is>
      </c>
      <c r="F135" s="2" t="inlineStr">
        <is>
          <t>da Podridão</t>
        </is>
      </c>
      <c r="G135" s="3">
        <f>IF(F135="","","Técnica Sólida "&amp;F135)</f>
        <v/>
      </c>
    </row>
    <row r="136">
      <c r="A136" t="n">
        <v>135</v>
      </c>
      <c r="B136" t="inlineStr">
        <is>
          <t>虎</t>
        </is>
      </c>
      <c r="C136" t="inlineStr">
        <is>
          <t>tigre</t>
        </is>
      </c>
      <c r="D136" t="inlineStr">
        <is>
          <t>Patience's</t>
        </is>
      </c>
      <c r="E136" t="inlineStr">
        <is>
          <t>o inglês do jogo não segue o hanzi daqui em diante (lista desalinhada: pecados, virtudes etc.)</t>
        </is>
      </c>
      <c r="F136" s="2" t="inlineStr">
        <is>
          <t>do Tigre</t>
        </is>
      </c>
      <c r="G136" s="3">
        <f>IF(F136="","","Técnica Sólida "&amp;F136)</f>
        <v/>
      </c>
    </row>
    <row r="137">
      <c r="A137" t="n">
        <v>136</v>
      </c>
      <c r="B137" t="inlineStr">
        <is>
          <t>意</t>
        </is>
      </c>
      <c r="C137" t="inlineStr">
        <is>
          <t>intenção, vontade</t>
        </is>
      </c>
      <c r="D137" t="inlineStr">
        <is>
          <t>Humility's</t>
        </is>
      </c>
      <c r="E137" t="inlineStr">
        <is>
          <t>o inglês do jogo não segue o hanzi daqui em diante (lista desalinhada: pecados, virtudes etc.)</t>
        </is>
      </c>
      <c r="F137" s="2" t="inlineStr">
        <is>
          <t>da Vontade</t>
        </is>
      </c>
      <c r="G137" s="3">
        <f>IF(F137="","","Técnica Sólida "&amp;F137)</f>
        <v/>
      </c>
    </row>
    <row r="138">
      <c r="A138" t="n">
        <v>137</v>
      </c>
      <c r="B138" t="inlineStr">
        <is>
          <t>锻</t>
        </is>
      </c>
      <c r="C138" t="inlineStr">
        <is>
          <t>forjar</t>
        </is>
      </c>
      <c r="D138" t="inlineStr">
        <is>
          <t>Mercy's</t>
        </is>
      </c>
      <c r="E138" t="inlineStr">
        <is>
          <t>o inglês do jogo não segue o hanzi daqui em diante (lista desalinhada: pecados, virtudes etc.)</t>
        </is>
      </c>
      <c r="F138" s="2" t="inlineStr">
        <is>
          <t>da Bigorna</t>
        </is>
      </c>
      <c r="G138" s="3">
        <f>IF(F138="","","Técnica Sólida "&amp;F138)</f>
        <v/>
      </c>
    </row>
    <row r="139">
      <c r="A139" t="n">
        <v>138</v>
      </c>
      <c r="B139" t="inlineStr">
        <is>
          <t>脱</t>
        </is>
      </c>
      <c r="C139" t="inlineStr">
        <is>
          <t>escapar, libertar-se</t>
        </is>
      </c>
      <c r="D139" t="inlineStr">
        <is>
          <t>Bravery's</t>
        </is>
      </c>
      <c r="E139" t="inlineStr">
        <is>
          <t>o inglês do jogo não segue o hanzi daqui em diante (lista desalinhada: pecados, virtudes etc.)</t>
        </is>
      </c>
      <c r="F139" s="2" t="inlineStr">
        <is>
          <t>da Libertação</t>
        </is>
      </c>
      <c r="G139" s="3">
        <f>IF(F139="","","Técnica Sólida "&amp;F139)</f>
        <v/>
      </c>
    </row>
    <row r="140">
      <c r="A140" t="n">
        <v>139</v>
      </c>
      <c r="B140" t="inlineStr">
        <is>
          <t>汲</t>
        </is>
      </c>
      <c r="C140" t="inlineStr">
        <is>
          <t>sorver (água)</t>
        </is>
      </c>
      <c r="D140" t="inlineStr">
        <is>
          <t>Purity's</t>
        </is>
      </c>
      <c r="E140" t="inlineStr">
        <is>
          <t>o inglês do jogo não segue o hanzi daqui em diante (lista desalinhada: pecados, virtudes etc.)</t>
        </is>
      </c>
      <c r="F140" s="2" t="inlineStr">
        <is>
          <t>do Sorvo</t>
        </is>
      </c>
      <c r="G140" s="3">
        <f>IF(F140="","","Técnica Sólida "&amp;F140)</f>
        <v/>
      </c>
    </row>
    <row r="141">
      <c r="A141" t="n">
        <v>140</v>
      </c>
      <c r="B141" t="inlineStr">
        <is>
          <t>嗜</t>
        </is>
      </c>
      <c r="C141" t="inlineStr">
        <is>
          <t>ânsia, vício</t>
        </is>
      </c>
      <c r="D141" t="inlineStr">
        <is>
          <t>Sacrifice's</t>
        </is>
      </c>
      <c r="E141" t="inlineStr">
        <is>
          <t>o inglês do jogo não segue o hanzi daqui em diante (lista desalinhada: pecados, virtudes etc.)</t>
        </is>
      </c>
      <c r="F141" s="2" t="inlineStr">
        <is>
          <t>do Vício</t>
        </is>
      </c>
      <c r="G141" s="3">
        <f>IF(F141="","","Técnica Sólida "&amp;F141)</f>
        <v/>
      </c>
    </row>
    <row r="142">
      <c r="A142" t="n">
        <v>141</v>
      </c>
      <c r="B142" t="inlineStr">
        <is>
          <t>旋</t>
        </is>
      </c>
      <c r="C142" t="inlineStr">
        <is>
          <t>girar</t>
        </is>
      </c>
      <c r="D142" t="inlineStr">
        <is>
          <t>Wisdom's</t>
        </is>
      </c>
      <c r="E142" t="inlineStr">
        <is>
          <t>o inglês do jogo não segue o hanzi daqui em diante (lista desalinhada: pecados, virtudes etc.)</t>
        </is>
      </c>
      <c r="F142" s="2" t="inlineStr">
        <is>
          <t>do Giro</t>
        </is>
      </c>
      <c r="G142" s="3">
        <f>IF(F142="","","Técnica Sólida "&amp;F142)</f>
        <v/>
      </c>
    </row>
    <row r="143">
      <c r="A143" t="n">
        <v>142</v>
      </c>
      <c r="B143" t="inlineStr">
        <is>
          <t>闪</t>
        </is>
      </c>
      <c r="C143" t="inlineStr">
        <is>
          <t>lampejo, esquivar</t>
        </is>
      </c>
      <c r="D143" t="inlineStr">
        <is>
          <t>Vitality's</t>
        </is>
      </c>
      <c r="E143" t="inlineStr">
        <is>
          <t>o inglês do jogo não segue o hanzi daqui em diante (lista desalinhada: pecados, virtudes etc.)</t>
        </is>
      </c>
      <c r="F143" s="2" t="inlineStr">
        <is>
          <t>da Esquiva</t>
        </is>
      </c>
      <c r="G143" s="3">
        <f>IF(F143="","","Técnica Sólida "&amp;F143)</f>
        <v/>
      </c>
    </row>
    <row r="144">
      <c r="A144" t="n">
        <v>143</v>
      </c>
      <c r="B144" t="inlineStr">
        <is>
          <t>瞬</t>
        </is>
      </c>
      <c r="C144" t="inlineStr">
        <is>
          <t>piscar, instante</t>
        </is>
      </c>
      <c r="D144" t="inlineStr">
        <is>
          <t>Strength's</t>
        </is>
      </c>
      <c r="E144" t="inlineStr">
        <is>
          <t>o inglês do jogo não segue o hanzi daqui em diante (lista desalinhada: pecados, virtudes etc.)</t>
        </is>
      </c>
      <c r="F144" s="2" t="inlineStr">
        <is>
          <t>do Instante</t>
        </is>
      </c>
      <c r="G144" s="3">
        <f>IF(F144="","","Técnica Sólida "&amp;F144)</f>
        <v/>
      </c>
    </row>
    <row r="145">
      <c r="A145" t="n">
        <v>144</v>
      </c>
      <c r="B145" t="inlineStr">
        <is>
          <t>恨</t>
        </is>
      </c>
      <c r="C145" t="inlineStr">
        <is>
          <t>ódio</t>
        </is>
      </c>
      <c r="D145" t="inlineStr">
        <is>
          <t>Dexterity's</t>
        </is>
      </c>
      <c r="E145" t="inlineStr">
        <is>
          <t>o inglês do jogo não segue o hanzi daqui em diante (lista desalinhada: pecados, virtudes etc.)</t>
        </is>
      </c>
      <c r="F145" s="2" t="inlineStr">
        <is>
          <t>do Ódio</t>
        </is>
      </c>
      <c r="G145" s="3">
        <f>IF(F145="","","Técnica Sólida "&amp;F145)</f>
        <v/>
      </c>
    </row>
    <row r="146">
      <c r="A146" t="n">
        <v>145</v>
      </c>
      <c r="B146" t="inlineStr">
        <is>
          <t>巨</t>
        </is>
      </c>
      <c r="C146" t="inlineStr">
        <is>
          <t>gigante</t>
        </is>
      </c>
      <c r="D146" t="inlineStr">
        <is>
          <t>Charm's</t>
        </is>
      </c>
      <c r="E146" t="inlineStr">
        <is>
          <t>o inglês do jogo não segue o hanzi daqui em diante (lista desalinhada: pecados, virtudes etc.)</t>
        </is>
      </c>
      <c r="F146" s="2" t="inlineStr">
        <is>
          <t>do Gigante</t>
        </is>
      </c>
      <c r="G146" s="3">
        <f>IF(F146="","","Técnica Sólida "&amp;F146)</f>
        <v/>
      </c>
    </row>
    <row r="147">
      <c r="A147" t="n">
        <v>146</v>
      </c>
      <c r="B147" t="inlineStr">
        <is>
          <t>覆</t>
        </is>
      </c>
      <c r="C147" t="inlineStr">
        <is>
          <t>virar, cobrir</t>
        </is>
      </c>
      <c r="D147" t="inlineStr">
        <is>
          <t>Fidelity's</t>
        </is>
      </c>
      <c r="E147" t="inlineStr">
        <is>
          <t>o inglês do jogo não segue o hanzi daqui em diante (lista desalinhada: pecados, virtudes etc.)</t>
        </is>
      </c>
      <c r="F147" s="2" t="inlineStr">
        <is>
          <t>do Manto</t>
        </is>
      </c>
      <c r="G147" s="3">
        <f>IF(F147="","","Técnica Sólida "&amp;F147)</f>
        <v/>
      </c>
    </row>
    <row r="148">
      <c r="A148" t="n">
        <v>147</v>
      </c>
      <c r="B148" t="inlineStr">
        <is>
          <t>鬼</t>
        </is>
      </c>
      <c r="C148" t="inlineStr">
        <is>
          <t>fantasma</t>
        </is>
      </c>
      <c r="D148" t="inlineStr">
        <is>
          <t>Propriety's</t>
        </is>
      </c>
      <c r="E148" t="inlineStr">
        <is>
          <t>o inglês do jogo não segue o hanzi daqui em diante (lista desalinhada: pecados, virtudes etc.)</t>
        </is>
      </c>
      <c r="F148" s="2" t="inlineStr">
        <is>
          <t>do Fantasma</t>
        </is>
      </c>
      <c r="G148" s="3">
        <f>IF(F148="","","Técnica Sólida "&amp;F148)</f>
        <v/>
      </c>
    </row>
    <row r="149">
      <c r="A149" t="n">
        <v>148</v>
      </c>
      <c r="B149" t="inlineStr">
        <is>
          <t>降</t>
        </is>
      </c>
      <c r="C149" t="inlineStr">
        <is>
          <t>descer, subjugar</t>
        </is>
      </c>
      <c r="D149" t="inlineStr">
        <is>
          <t>Harmony's</t>
        </is>
      </c>
      <c r="E149" t="inlineStr">
        <is>
          <t>o inglês do jogo não segue o hanzi daqui em diante (lista desalinhada: pecados, virtudes etc.)</t>
        </is>
      </c>
      <c r="F149" s="2" t="inlineStr">
        <is>
          <t>da Subjugação</t>
        </is>
      </c>
      <c r="G149" s="3">
        <f>IF(F149="","","Técnica Sólida "&amp;F149)</f>
        <v/>
      </c>
    </row>
    <row r="150">
      <c r="A150" t="n">
        <v>149</v>
      </c>
      <c r="B150" t="inlineStr">
        <is>
          <t>六</t>
        </is>
      </c>
      <c r="C150" t="inlineStr">
        <is>
          <t>seis</t>
        </is>
      </c>
      <c r="D150" t="inlineStr">
        <is>
          <t>Integrity's</t>
        </is>
      </c>
      <c r="E150" t="inlineStr">
        <is>
          <t>o inglês do jogo não segue o hanzi daqui em diante (lista desalinhada: pecados, virtudes etc.)</t>
        </is>
      </c>
      <c r="F150" s="2" t="inlineStr">
        <is>
          <t>dos Seis</t>
        </is>
      </c>
      <c r="G150" s="3">
        <f>IF(F150="","","Técnica Sólida "&amp;F150)</f>
        <v/>
      </c>
    </row>
    <row r="151">
      <c r="A151" t="n">
        <v>150</v>
      </c>
      <c r="B151" t="inlineStr">
        <is>
          <t>如</t>
        </is>
      </c>
      <c r="C151" t="inlineStr">
        <is>
          <t>como, tal qual</t>
        </is>
      </c>
      <c r="D151" t="inlineStr">
        <is>
          <t>Turtle's</t>
        </is>
      </c>
      <c r="E151" t="inlineStr">
        <is>
          <t>o inglês do jogo não segue o hanzi daqui em diante (lista desalinhada: pecados, virtudes etc.)</t>
        </is>
      </c>
      <c r="F151" s="2" t="inlineStr">
        <is>
          <t>do Espelho</t>
        </is>
      </c>
      <c r="G151" s="3">
        <f>IF(F151="","","Técnica Sólida "&amp;F151)</f>
        <v/>
      </c>
    </row>
    <row r="152">
      <c r="A152" t="n">
        <v>151</v>
      </c>
      <c r="B152" t="inlineStr">
        <is>
          <t>囚</t>
        </is>
      </c>
      <c r="C152" t="inlineStr">
        <is>
          <t>prisioneiro</t>
        </is>
      </c>
      <c r="D152" t="inlineStr">
        <is>
          <t>Visage's</t>
        </is>
      </c>
      <c r="E152" t="inlineStr">
        <is>
          <t>o inglês do jogo não segue o hanzi daqui em diante (lista desalinhada: pecados, virtudes etc.)</t>
        </is>
      </c>
      <c r="F152" s="2" t="inlineStr">
        <is>
          <t>do Prisioneiro</t>
        </is>
      </c>
      <c r="G152" s="3">
        <f>IF(F152="","","Técnica Sólida "&amp;F152)</f>
        <v/>
      </c>
    </row>
    <row r="153">
      <c r="A153" t="n">
        <v>152</v>
      </c>
      <c r="B153" t="inlineStr">
        <is>
          <t>合</t>
        </is>
      </c>
      <c r="C153" t="inlineStr">
        <is>
          <t>unir</t>
        </is>
      </c>
      <c r="D153" t="inlineStr">
        <is>
          <t>Smith's</t>
        </is>
      </c>
      <c r="E153" t="inlineStr">
        <is>
          <t>o inglês do jogo não segue o hanzi daqui em diante (lista desalinhada: pecados, virtudes etc.)</t>
        </is>
      </c>
      <c r="F153" s="2" t="inlineStr">
        <is>
          <t>da União</t>
        </is>
      </c>
      <c r="G153" s="3">
        <f>IF(F153="","","Técnica Sólida "&amp;F153)</f>
        <v/>
      </c>
    </row>
    <row r="154">
      <c r="A154" t="n">
        <v>153</v>
      </c>
      <c r="B154" t="inlineStr">
        <is>
          <t>明</t>
        </is>
      </c>
      <c r="C154" t="inlineStr">
        <is>
          <t>claro, brilhante</t>
        </is>
      </c>
      <c r="D154" t="inlineStr">
        <is>
          <t>Ceremony's</t>
        </is>
      </c>
      <c r="E154" t="inlineStr">
        <is>
          <t>o inglês do jogo não segue o hanzi daqui em diante (lista desalinhada: pecados, virtudes etc.)</t>
        </is>
      </c>
      <c r="F154" s="2" t="inlineStr">
        <is>
          <t>do Brilho</t>
        </is>
      </c>
      <c r="G154" s="3">
        <f>IF(F154="","","Técnica Sólida "&amp;F154)</f>
        <v/>
      </c>
    </row>
    <row r="155">
      <c r="A155" t="n">
        <v>154</v>
      </c>
      <c r="B155" t="inlineStr">
        <is>
          <t>绮</t>
        </is>
      </c>
      <c r="C155" t="inlineStr">
        <is>
          <t>belo, seda bordada</t>
        </is>
      </c>
      <c r="D155" t="inlineStr">
        <is>
          <t>Ruler's</t>
        </is>
      </c>
      <c r="E155" t="inlineStr">
        <is>
          <t>o inglês do jogo não segue o hanzi daqui em diante (lista desalinhada: pecados, virtudes etc.)</t>
        </is>
      </c>
      <c r="F155" s="2" t="inlineStr">
        <is>
          <t>da Seda</t>
        </is>
      </c>
      <c r="G155" s="3">
        <f>IF(F155="","","Técnica Sólida "&amp;F155)</f>
        <v/>
      </c>
    </row>
    <row r="156">
      <c r="A156" t="n">
        <v>155</v>
      </c>
      <c r="B156" t="inlineStr">
        <is>
          <t>梵</t>
        </is>
      </c>
      <c r="C156" t="inlineStr">
        <is>
          <t>Brahma, sagrado (budista)</t>
        </is>
      </c>
      <c r="D156" t="inlineStr">
        <is>
          <t>Sage's</t>
        </is>
      </c>
      <c r="E156" t="inlineStr">
        <is>
          <t>o inglês do jogo não segue o hanzi daqui em diante (lista desalinhada: pecados, virtudes etc.)</t>
        </is>
      </c>
      <c r="F156" s="2" t="inlineStr">
        <is>
          <t>de Brahma</t>
        </is>
      </c>
      <c r="G156" s="3">
        <f>IF(F156="","","Técnica Sólida "&amp;F156)</f>
        <v/>
      </c>
    </row>
    <row r="157">
      <c r="A157" t="n">
        <v>156</v>
      </c>
      <c r="B157" t="inlineStr">
        <is>
          <t>离</t>
        </is>
      </c>
      <c r="C157" t="inlineStr">
        <is>
          <t>partir; trigrama Li (fogo)</t>
        </is>
      </c>
      <c r="D157" t="inlineStr">
        <is>
          <t>Crystal's</t>
        </is>
      </c>
      <c r="E157" t="inlineStr">
        <is>
          <t>o inglês do jogo não segue o hanzi daqui em diante (lista desalinhada: pecados, virtudes etc.)</t>
        </is>
      </c>
      <c r="F157" s="2" t="inlineStr">
        <is>
          <t>do Trigrama Li</t>
        </is>
      </c>
      <c r="G157" s="3">
        <f>IF(F157="","","Técnica Sólida "&amp;F157)</f>
        <v/>
      </c>
    </row>
    <row r="158">
      <c r="A158" t="n">
        <v>157</v>
      </c>
      <c r="B158" t="inlineStr">
        <is>
          <t>辰</t>
        </is>
      </c>
      <c r="C158" t="inlineStr">
        <is>
          <t>astro, hora</t>
        </is>
      </c>
      <c r="D158" t="inlineStr">
        <is>
          <t>Stardust's</t>
        </is>
      </c>
      <c r="E158" t="inlineStr">
        <is>
          <t>o inglês do jogo não segue o hanzi daqui em diante (lista desalinhada: pecados, virtudes etc.)</t>
        </is>
      </c>
      <c r="F158" s="2" t="inlineStr">
        <is>
          <t>do Astro</t>
        </is>
      </c>
      <c r="G158" s="3">
        <f>IF(F158="","","Técnica Sólida "&amp;F158)</f>
        <v/>
      </c>
    </row>
    <row r="159">
      <c r="A159" t="n">
        <v>158</v>
      </c>
      <c r="B159" t="inlineStr">
        <is>
          <t>九</t>
        </is>
      </c>
      <c r="C159" t="inlineStr">
        <is>
          <t>nove</t>
        </is>
      </c>
      <c r="D159" t="inlineStr">
        <is>
          <t>Moonfall's</t>
        </is>
      </c>
      <c r="E159" t="inlineStr">
        <is>
          <t>o inglês do jogo não segue o hanzi daqui em diante (lista desalinhada: pecados, virtudes etc.)</t>
        </is>
      </c>
      <c r="F159" s="2" t="inlineStr">
        <is>
          <t>dos Nove</t>
        </is>
      </c>
      <c r="G159" s="3">
        <f>IF(F159="","","Técnica Sólida "&amp;F159)</f>
        <v/>
      </c>
    </row>
    <row r="160">
      <c r="A160" t="n">
        <v>159</v>
      </c>
      <c r="B160" t="inlineStr">
        <is>
          <t>混</t>
        </is>
      </c>
      <c r="C160" t="inlineStr">
        <is>
          <t>caos, misturar</t>
        </is>
      </c>
      <c r="D160" t="inlineStr">
        <is>
          <t>Physique's</t>
        </is>
      </c>
      <c r="E160" t="inlineStr">
        <is>
          <t>o inglês do jogo não segue o hanzi daqui em diante (lista desalinhada: pecados, virtudes etc.)</t>
        </is>
      </c>
      <c r="F160" s="2" t="inlineStr">
        <is>
          <t>do Caos</t>
        </is>
      </c>
      <c r="G160" s="3">
        <f>IF(F160="","","Técnica Sólida "&amp;F160)</f>
        <v/>
      </c>
    </row>
    <row r="161">
      <c r="A161" t="n">
        <v>160</v>
      </c>
      <c r="B161" t="inlineStr">
        <is>
          <t>擎</t>
        </is>
      </c>
      <c r="C161" t="inlineStr">
        <is>
          <t>erguer, sustentar</t>
        </is>
      </c>
      <c r="D161" t="inlineStr">
        <is>
          <t>Soul's</t>
        </is>
      </c>
      <c r="E161" t="inlineStr">
        <is>
          <t>o inglês do jogo não segue o hanzi daqui em diante (lista desalinhada: pecados, virtudes etc.)</t>
        </is>
      </c>
      <c r="F161" s="2" t="inlineStr">
        <is>
          <t>do Pilar</t>
        </is>
      </c>
      <c r="G161" s="3">
        <f>IF(F161="","","Técnica Sólida "&amp;F161)</f>
        <v/>
      </c>
    </row>
    <row r="162">
      <c r="A162" t="n">
        <v>161</v>
      </c>
      <c r="B162" t="inlineStr">
        <is>
          <t>真</t>
        </is>
      </c>
      <c r="C162" t="inlineStr">
        <is>
          <t>verdadeiro</t>
        </is>
      </c>
      <c r="D162" t="inlineStr">
        <is>
          <t>Fool's</t>
        </is>
      </c>
      <c r="E162" t="inlineStr">
        <is>
          <t>o inglês do jogo não segue o hanzi daqui em diante (lista desalinhada: pecados, virtudes etc.)</t>
        </is>
      </c>
      <c r="F162" s="2" t="inlineStr">
        <is>
          <t>da Verdade</t>
        </is>
      </c>
      <c r="G162" s="3">
        <f>IF(F162="","","Técnica Sólida "&amp;F162)</f>
        <v/>
      </c>
    </row>
    <row r="163">
      <c r="A163" t="n">
        <v>162</v>
      </c>
      <c r="B163" t="inlineStr">
        <is>
          <t>纯</t>
        </is>
      </c>
      <c r="C163" t="inlineStr">
        <is>
          <t>puro</t>
        </is>
      </c>
      <c r="D163" t="inlineStr">
        <is>
          <t>Alchemist's</t>
        </is>
      </c>
      <c r="E163" t="inlineStr">
        <is>
          <t>o inglês do jogo não segue o hanzi daqui em diante (lista desalinhada: pecados, virtudes etc.)</t>
        </is>
      </c>
      <c r="F163" s="2" t="inlineStr">
        <is>
          <t>da Imaculada</t>
        </is>
      </c>
      <c r="G163" s="3">
        <f>IF(F163="","","Técnica Sólida "&amp;F163)</f>
        <v/>
      </c>
    </row>
    <row r="164">
      <c r="A164" t="n">
        <v>163</v>
      </c>
      <c r="B164" t="inlineStr">
        <is>
          <t>精</t>
        </is>
      </c>
      <c r="C164" t="inlineStr">
        <is>
          <t>essência</t>
        </is>
      </c>
      <c r="D164" t="inlineStr">
        <is>
          <t>Grinder's</t>
        </is>
      </c>
      <c r="E164" t="inlineStr">
        <is>
          <t>o inglês do jogo não segue o hanzi daqui em diante (lista desalinhada: pecados, virtudes etc.)</t>
        </is>
      </c>
      <c r="F164" s="2" t="inlineStr">
        <is>
          <t>da Essência</t>
        </is>
      </c>
      <c r="G164" s="3">
        <f>IF(F164="","","Técnica Sólida "&amp;F164)</f>
        <v/>
      </c>
    </row>
    <row r="165">
      <c r="A165" t="n">
        <v>164</v>
      </c>
      <c r="B165" t="inlineStr">
        <is>
          <t>尖</t>
        </is>
      </c>
      <c r="C165" t="inlineStr">
        <is>
          <t>ponta, afiado</t>
        </is>
      </c>
      <c r="D165" t="inlineStr">
        <is>
          <t>Restorer's</t>
        </is>
      </c>
      <c r="E165" t="inlineStr">
        <is>
          <t>o inglês do jogo não segue o hanzi daqui em diante (lista desalinhada: pecados, virtudes etc.)</t>
        </is>
      </c>
      <c r="F165" s="2" t="inlineStr">
        <is>
          <t>da Ponta</t>
        </is>
      </c>
      <c r="G165" s="3">
        <f>IF(F165="","","Técnica Sólida "&amp;F165)</f>
        <v/>
      </c>
    </row>
    <row r="166">
      <c r="A166" t="n">
        <v>165</v>
      </c>
      <c r="B166" t="inlineStr">
        <is>
          <t>回</t>
        </is>
      </c>
      <c r="C166" t="inlineStr">
        <is>
          <t>voltar</t>
        </is>
      </c>
      <c r="D166" t="inlineStr">
        <is>
          <t>Doppler's</t>
        </is>
      </c>
      <c r="E166" t="inlineStr">
        <is>
          <t>o inglês do jogo não segue o hanzi daqui em diante (lista desalinhada: pecados, virtudes etc.)</t>
        </is>
      </c>
      <c r="F166" s="2" t="inlineStr">
        <is>
          <t>do Regresso</t>
        </is>
      </c>
      <c r="G166" s="3">
        <f>IF(F166="","","Técnica Sólida "&amp;F166)</f>
        <v/>
      </c>
    </row>
    <row r="167">
      <c r="A167" t="n">
        <v>166</v>
      </c>
      <c r="B167" t="inlineStr">
        <is>
          <t>两</t>
        </is>
      </c>
      <c r="C167" t="inlineStr">
        <is>
          <t>dois, ambos</t>
        </is>
      </c>
      <c r="D167" t="inlineStr">
        <is>
          <t>Veracity's</t>
        </is>
      </c>
      <c r="E167" t="inlineStr">
        <is>
          <t>o inglês do jogo não segue o hanzi daqui em diante (lista desalinhada: pecados, virtudes etc.)</t>
        </is>
      </c>
      <c r="F167" s="2" t="inlineStr">
        <is>
          <t>da Dualidade</t>
        </is>
      </c>
      <c r="G167" s="3">
        <f>IF(F167="","","Técnica Sólida "&amp;F167)</f>
        <v/>
      </c>
    </row>
    <row r="168">
      <c r="A168" t="n">
        <v>167</v>
      </c>
      <c r="B168" t="inlineStr">
        <is>
          <t>一</t>
        </is>
      </c>
      <c r="C168" t="inlineStr">
        <is>
          <t>um</t>
        </is>
      </c>
      <c r="D168" t="inlineStr">
        <is>
          <t>Wafter's</t>
        </is>
      </c>
      <c r="E168" t="inlineStr">
        <is>
          <t>o inglês do jogo não segue o hanzi daqui em diante (lista desalinhada: pecados, virtudes etc.)</t>
        </is>
      </c>
      <c r="F168" s="2" t="inlineStr">
        <is>
          <t>do Único</t>
        </is>
      </c>
      <c r="G168" s="3">
        <f>IF(F168="","","Técnica Sólida "&amp;F168)</f>
        <v/>
      </c>
    </row>
    <row r="169">
      <c r="A169" t="n">
        <v>168</v>
      </c>
      <c r="B169" t="inlineStr">
        <is>
          <t>浮</t>
        </is>
      </c>
      <c r="C169" t="inlineStr">
        <is>
          <t>flutuar</t>
        </is>
      </c>
      <c r="D169" t="inlineStr">
        <is>
          <t>Millenial's</t>
        </is>
      </c>
      <c r="E169" t="inlineStr">
        <is>
          <t>o inglês do jogo não segue o hanzi daqui em diante (lista desalinhada: pecados, virtudes etc.)</t>
        </is>
      </c>
      <c r="F169" s="2" t="inlineStr">
        <is>
          <t>da Flutuação</t>
        </is>
      </c>
      <c r="G169" s="3">
        <f>IF(F169="","","Técnica Sólida "&amp;F169)</f>
        <v/>
      </c>
    </row>
    <row r="170">
      <c r="A170" t="n">
        <v>169</v>
      </c>
      <c r="B170" t="inlineStr">
        <is>
          <t>万</t>
        </is>
      </c>
      <c r="C170" t="inlineStr">
        <is>
          <t>dez mil, miríade</t>
        </is>
      </c>
      <c r="D170" t="inlineStr">
        <is>
          <t>Ashen's</t>
        </is>
      </c>
      <c r="E170" t="inlineStr">
        <is>
          <t>o inglês do jogo não segue o hanzi daqui em diante (lista desalinhada: pecados, virtudes etc.)</t>
        </is>
      </c>
      <c r="F170" s="2" t="inlineStr">
        <is>
          <t>da Miríade</t>
        </is>
      </c>
      <c r="G170" s="3">
        <f>IF(F170="","","Técnica Sólida "&amp;F170)</f>
        <v/>
      </c>
    </row>
    <row r="171">
      <c r="A171" t="n">
        <v>170</v>
      </c>
      <c r="B171" t="inlineStr">
        <is>
          <t>烬</t>
        </is>
      </c>
      <c r="C171" t="inlineStr">
        <is>
          <t>cinzas, brasas</t>
        </is>
      </c>
      <c r="D171" t="inlineStr">
        <is>
          <t>Taker's</t>
        </is>
      </c>
      <c r="E171" t="inlineStr">
        <is>
          <t>o inglês do jogo não segue o hanzi daqui em diante (lista desalinhada: pecados, virtudes etc.)</t>
        </is>
      </c>
      <c r="F171" s="2" t="inlineStr">
        <is>
          <t>das Cinzas</t>
        </is>
      </c>
      <c r="G171" s="3">
        <f>IF(F171="","","Técnica Sólida "&amp;F171)</f>
        <v/>
      </c>
    </row>
    <row r="172">
      <c r="A172" t="n">
        <v>171</v>
      </c>
      <c r="B172" t="inlineStr">
        <is>
          <t>摄</t>
        </is>
      </c>
      <c r="C172" t="inlineStr">
        <is>
          <t>captar, absorver</t>
        </is>
      </c>
      <c r="D172" t="inlineStr">
        <is>
          <t>Trinity's</t>
        </is>
      </c>
      <c r="E172" t="inlineStr">
        <is>
          <t>o inglês do jogo não segue o hanzi daqui em diante (lista desalinhada: pecados, virtudes etc.)</t>
        </is>
      </c>
      <c r="F172" s="2" t="inlineStr">
        <is>
          <t>da Absorção</t>
        </is>
      </c>
      <c r="G172" s="3">
        <f>IF(F172="","","Técnica Sólida "&amp;F172)</f>
        <v/>
      </c>
    </row>
    <row r="173">
      <c r="A173" t="n">
        <v>172</v>
      </c>
      <c r="B173" t="inlineStr">
        <is>
          <t>三</t>
        </is>
      </c>
      <c r="C173" t="inlineStr">
        <is>
          <t>três</t>
        </is>
      </c>
      <c r="D173" t="inlineStr">
        <is>
          <t>Path's</t>
        </is>
      </c>
      <c r="E173" t="inlineStr">
        <is>
          <t>o inglês do jogo não segue o hanzi daqui em diante (lista desalinhada: pecados, virtudes etc.)</t>
        </is>
      </c>
      <c r="F173" s="2" t="inlineStr">
        <is>
          <t>dos Três</t>
        </is>
      </c>
      <c r="G173" s="3">
        <f>IF(F173="","","Técnica Sólida "&amp;F173)</f>
        <v/>
      </c>
    </row>
    <row r="174">
      <c r="A174" t="n">
        <v>173</v>
      </c>
      <c r="B174" t="inlineStr">
        <is>
          <t>道</t>
        </is>
      </c>
      <c r="C174" t="inlineStr">
        <is>
          <t>Dao, caminho</t>
        </is>
      </c>
      <c r="D174" t="inlineStr">
        <is>
          <t>Intent's</t>
        </is>
      </c>
      <c r="E174" t="inlineStr">
        <is>
          <t>o inglês do jogo não segue o hanzi daqui em diante (lista desalinhada: pecados, virtudes etc.)</t>
        </is>
      </c>
      <c r="F174" s="2" t="inlineStr">
        <is>
          <t>do Dao</t>
        </is>
      </c>
      <c r="G174" s="3">
        <f>IF(F174="","","Técnica Sólida "&amp;F174)</f>
        <v/>
      </c>
    </row>
    <row r="175">
      <c r="A175" t="n">
        <v>174</v>
      </c>
      <c r="B175" t="inlineStr">
        <is>
          <t>戾</t>
        </is>
      </c>
      <c r="C175" t="inlineStr">
        <is>
          <t>feroz, perverso</t>
        </is>
      </c>
      <c r="D175" t="inlineStr">
        <is>
          <t>Youth's</t>
        </is>
      </c>
      <c r="E175" t="inlineStr">
        <is>
          <t>o inglês do jogo não segue o hanzi daqui em diante (lista desalinhada: pecados, virtudes etc.)</t>
        </is>
      </c>
      <c r="F175" s="2" t="inlineStr">
        <is>
          <t>da Perversidade</t>
        </is>
      </c>
      <c r="G175" s="3">
        <f>IF(F175="","","Técnica Sólida "&amp;F175)</f>
        <v/>
      </c>
    </row>
    <row r="176">
      <c r="A176" t="n">
        <v>175</v>
      </c>
      <c r="B176" t="inlineStr">
        <is>
          <t>少</t>
        </is>
      </c>
      <c r="C176" t="inlineStr">
        <is>
          <t>jovem</t>
        </is>
      </c>
      <c r="D176" t="inlineStr">
        <is>
          <t>Sheen's</t>
        </is>
      </c>
      <c r="E176" t="inlineStr">
        <is>
          <t>o inglês do jogo não segue o hanzi daqui em diante (lista desalinhada: pecados, virtudes etc.)</t>
        </is>
      </c>
      <c r="F176" s="2" t="inlineStr">
        <is>
          <t>da Juventude</t>
        </is>
      </c>
      <c r="G176" s="3">
        <f>IF(F176="","","Técnica Sólida "&amp;F176)</f>
        <v/>
      </c>
    </row>
    <row r="177">
      <c r="A177" t="n">
        <v>176</v>
      </c>
      <c r="B177" t="inlineStr">
        <is>
          <t>耀</t>
        </is>
      </c>
      <c r="C177" t="inlineStr">
        <is>
          <t>resplandecer</t>
        </is>
      </c>
      <c r="D177" t="inlineStr">
        <is>
          <t>Space's</t>
        </is>
      </c>
      <c r="E177" t="inlineStr">
        <is>
          <t>o inglês do jogo não segue o hanzi daqui em diante (lista desalinhada: pecados, virtudes etc.)</t>
        </is>
      </c>
      <c r="F177" s="2" t="inlineStr">
        <is>
          <t>do Resplendor</t>
        </is>
      </c>
      <c r="G177" s="3">
        <f>IF(F177="","","Técnica Sólida "&amp;F177)</f>
        <v/>
      </c>
    </row>
    <row r="178">
      <c r="A178" t="n">
        <v>177</v>
      </c>
      <c r="B178" t="inlineStr">
        <is>
          <t>空</t>
        </is>
      </c>
      <c r="C178" t="inlineStr">
        <is>
          <t>vazio, céu</t>
        </is>
      </c>
      <c r="D178" t="inlineStr">
        <is>
          <t>Shaper's</t>
        </is>
      </c>
      <c r="E178" t="inlineStr">
        <is>
          <t>o inglês do jogo não segue o hanzi daqui em diante (lista desalinhada: pecados, virtudes etc.)</t>
        </is>
      </c>
      <c r="F178" s="2" t="inlineStr">
        <is>
          <t>do Vácuo Celeste</t>
        </is>
      </c>
      <c r="G178" s="3">
        <f>IF(F178="","","Técnica Sólida "&amp;F178)</f>
        <v/>
      </c>
    </row>
    <row r="179">
      <c r="A179" t="n">
        <v>178</v>
      </c>
      <c r="B179" t="inlineStr">
        <is>
          <t>形</t>
        </is>
      </c>
      <c r="C179" t="inlineStr">
        <is>
          <t>forma</t>
        </is>
      </c>
      <c r="D179" t="inlineStr">
        <is>
          <t>Looker's</t>
        </is>
      </c>
      <c r="E179" t="inlineStr">
        <is>
          <t>o inglês do jogo não segue o hanzi daqui em diante (lista desalinhada: pecados, virtudes etc.)</t>
        </is>
      </c>
      <c r="F179" s="2" t="inlineStr">
        <is>
          <t>da Forma</t>
        </is>
      </c>
      <c r="G179" s="3">
        <f>IF(F179="","","Técnica Sólida "&amp;F179)</f>
        <v/>
      </c>
    </row>
    <row r="180">
      <c r="A180" t="n">
        <v>179</v>
      </c>
      <c r="B180" t="inlineStr">
        <is>
          <t>望</t>
        </is>
      </c>
      <c r="C180" t="inlineStr">
        <is>
          <t>contemplar, esperança</t>
        </is>
      </c>
      <c r="D180" t="inlineStr">
        <is>
          <t>Nirvana's</t>
        </is>
      </c>
      <c r="E180" t="inlineStr">
        <is>
          <t>o inglês do jogo não segue o hanzi daqui em diante (lista desalinhada: pecados, virtudes etc.)</t>
        </is>
      </c>
      <c r="F180" s="2" t="inlineStr">
        <is>
          <t>da Esperança</t>
        </is>
      </c>
      <c r="G180" s="3">
        <f>IF(F180="","","Técnica Sólida "&amp;F180)</f>
        <v/>
      </c>
    </row>
    <row r="181">
      <c r="A181" t="n">
        <v>180</v>
      </c>
      <c r="B181" t="inlineStr">
        <is>
          <t>涅</t>
        </is>
      </c>
      <c r="C181" t="inlineStr">
        <is>
          <t>nirvana</t>
        </is>
      </c>
      <c r="D181" t="inlineStr">
        <is>
          <t>Coal's</t>
        </is>
      </c>
      <c r="E181" t="inlineStr">
        <is>
          <t>o inglês do jogo não segue o hanzi daqui em diante (lista desalinhada: pecados, virtudes etc.)</t>
        </is>
      </c>
      <c r="F181" s="2" t="inlineStr">
        <is>
          <t>do Nirvana</t>
        </is>
      </c>
      <c r="G181" s="3">
        <f>IF(F181="","","Técnica Sólida "&amp;F181)</f>
        <v/>
      </c>
    </row>
    <row r="182">
      <c r="A182" t="n">
        <v>181</v>
      </c>
      <c r="B182" t="inlineStr">
        <is>
          <t>燃</t>
        </is>
      </c>
      <c r="C182" t="inlineStr">
        <is>
          <t>arder</t>
        </is>
      </c>
      <c r="D182" t="inlineStr">
        <is>
          <t>Opener's</t>
        </is>
      </c>
      <c r="E182" t="inlineStr">
        <is>
          <t>o inglês do jogo não segue o hanzi daqui em diante (lista desalinhada: pecados, virtudes etc.)</t>
        </is>
      </c>
      <c r="F182" s="2" t="inlineStr">
        <is>
          <t>do Ardor</t>
        </is>
      </c>
      <c r="G182" s="3">
        <f>IF(F182="","","Técnica Sólida "&amp;F182)</f>
        <v/>
      </c>
    </row>
    <row r="183">
      <c r="A183" t="n">
        <v>182</v>
      </c>
      <c r="B183" t="inlineStr">
        <is>
          <t>开</t>
        </is>
      </c>
      <c r="C183" t="inlineStr">
        <is>
          <t>abrir</t>
        </is>
      </c>
      <c r="D183" t="inlineStr">
        <is>
          <t>Candor's</t>
        </is>
      </c>
      <c r="E183" t="inlineStr">
        <is>
          <t>o inglês do jogo não segue o hanzi daqui em diante (lista desalinhada: pecados, virtudes etc.)</t>
        </is>
      </c>
      <c r="F183" s="2" t="inlineStr">
        <is>
          <t>da Gênese</t>
        </is>
      </c>
      <c r="G183" s="3">
        <f>IF(F183="","","Técnica Sólida "&amp;F183)</f>
        <v/>
      </c>
    </row>
    <row r="184">
      <c r="A184" t="n">
        <v>183</v>
      </c>
      <c r="B184" t="inlineStr">
        <is>
          <t>正</t>
        </is>
      </c>
      <c r="C184" t="inlineStr">
        <is>
          <t>reto, justo</t>
        </is>
      </c>
      <c r="D184" t="inlineStr">
        <is>
          <t>Chao's</t>
        </is>
      </c>
      <c r="E184" t="inlineStr">
        <is>
          <t>o inglês do jogo não segue o hanzi daqui em diante (lista desalinhada: pecados, virtudes etc.)</t>
        </is>
      </c>
      <c r="F184" s="2" t="inlineStr">
        <is>
          <t>da Retidão</t>
        </is>
      </c>
      <c r="G184" s="3">
        <f>IF(F184="","","Técnica Sólida "&amp;F184)</f>
        <v/>
      </c>
    </row>
    <row r="185">
      <c r="A185" t="n">
        <v>184</v>
      </c>
      <c r="B185" t="inlineStr">
        <is>
          <t>浑</t>
        </is>
      </c>
      <c r="C185" t="inlineStr">
        <is>
          <t>turvo, caótico</t>
        </is>
      </c>
      <c r="D185" t="inlineStr">
        <is>
          <t>Viewer's</t>
        </is>
      </c>
      <c r="E185" t="inlineStr">
        <is>
          <t>o inglês do jogo não segue o hanzi daqui em diante (lista desalinhada: pecados, virtudes etc.)</t>
        </is>
      </c>
      <c r="F185" s="2" t="inlineStr">
        <is>
          <t>do Lodo</t>
        </is>
      </c>
      <c r="G185" s="3">
        <f>IF(F185="","","Técnica Sólida "&amp;F185)</f>
        <v/>
      </c>
    </row>
    <row r="186">
      <c r="A186" t="n">
        <v>185</v>
      </c>
      <c r="B186" t="inlineStr">
        <is>
          <t>朝</t>
        </is>
      </c>
      <c r="C186" t="inlineStr">
        <is>
          <t>manhã, corte imperial</t>
        </is>
      </c>
      <c r="D186" t="inlineStr">
        <is>
          <t>Splitter's</t>
        </is>
      </c>
      <c r="E186" t="inlineStr">
        <is>
          <t>o inglês do jogo não segue o hanzi daqui em diante (lista desalinhada: pecados, virtudes etc.)</t>
        </is>
      </c>
      <c r="F186" s="2" t="inlineStr">
        <is>
          <t>da Alvorada</t>
        </is>
      </c>
      <c r="G186" s="3">
        <f>IF(F186="","","Técnica Sólida "&amp;F186)</f>
        <v/>
      </c>
    </row>
    <row r="187">
      <c r="A187" t="n">
        <v>186</v>
      </c>
      <c r="B187" t="inlineStr">
        <is>
          <t>分</t>
        </is>
      </c>
      <c r="C187" t="inlineStr">
        <is>
          <t>dividir</t>
        </is>
      </c>
      <c r="D187" t="inlineStr">
        <is>
          <t>Twin's</t>
        </is>
      </c>
      <c r="E187" t="inlineStr">
        <is>
          <t>o inglês do jogo não segue o hanzi daqui em diante (lista desalinhada: pecados, virtudes etc.)</t>
        </is>
      </c>
      <c r="F187" s="2" t="inlineStr">
        <is>
          <t>da Cisão</t>
        </is>
      </c>
      <c r="G187" s="3">
        <f>IF(F187="","","Técnica Sólida "&amp;F187)</f>
        <v/>
      </c>
    </row>
    <row r="188">
      <c r="A188" t="n">
        <v>187</v>
      </c>
      <c r="B188" t="inlineStr">
        <is>
          <t>双</t>
        </is>
      </c>
      <c r="C188" t="inlineStr">
        <is>
          <t>par, duplo</t>
        </is>
      </c>
      <c r="D188" t="inlineStr">
        <is>
          <t>Step's</t>
        </is>
      </c>
      <c r="E188" t="inlineStr">
        <is>
          <t>o inglês do jogo não segue o hanzi daqui em diante (lista desalinhada: pecados, virtudes etc.)</t>
        </is>
      </c>
      <c r="F188" s="2" t="inlineStr">
        <is>
          <t>da Dupla Forma</t>
        </is>
      </c>
      <c r="G188" s="3">
        <f>IF(F188="","","Técnica Sólida "&amp;F188)</f>
        <v/>
      </c>
    </row>
    <row r="189">
      <c r="A189" t="n">
        <v>188</v>
      </c>
      <c r="B189" t="inlineStr">
        <is>
          <t>踏</t>
        </is>
      </c>
      <c r="C189" t="inlineStr">
        <is>
          <t>pisar</t>
        </is>
      </c>
      <c r="D189" t="inlineStr">
        <is>
          <t>Nihil's</t>
        </is>
      </c>
      <c r="E189" t="inlineStr">
        <is>
          <t>o inglês do jogo não segue o hanzi daqui em diante (lista desalinhada: pecados, virtudes etc.)</t>
        </is>
      </c>
      <c r="F189" s="2" t="inlineStr">
        <is>
          <t>do Passo</t>
        </is>
      </c>
      <c r="G189" s="3">
        <f>IF(F189="","","Técnica Sólida "&amp;F189)</f>
        <v/>
      </c>
    </row>
    <row r="190">
      <c r="A190" t="n">
        <v>189</v>
      </c>
      <c r="B190" t="inlineStr">
        <is>
          <t>湮</t>
        </is>
      </c>
      <c r="C190" t="inlineStr">
        <is>
          <t>obliterar, submergir</t>
        </is>
      </c>
      <c r="D190" t="inlineStr">
        <is>
          <t>Clawer's</t>
        </is>
      </c>
      <c r="E190" t="inlineStr">
        <is>
          <t>o inglês do jogo não segue o hanzi daqui em diante (lista desalinhada: pecados, virtudes etc.)</t>
        </is>
      </c>
      <c r="F190" s="2" t="inlineStr">
        <is>
          <t>da Obliteração</t>
        </is>
      </c>
      <c r="G190" s="3">
        <f>IF(F190="","","Técnica Sólida "&amp;F190)</f>
        <v/>
      </c>
    </row>
    <row r="191">
      <c r="A191" t="n">
        <v>190</v>
      </c>
      <c r="B191" t="inlineStr">
        <is>
          <t>凶</t>
        </is>
      </c>
      <c r="C191" t="inlineStr">
        <is>
          <t>funesto, feroz</t>
        </is>
      </c>
      <c r="D191" t="inlineStr">
        <is>
          <t>Biter's</t>
        </is>
      </c>
      <c r="E191" t="inlineStr">
        <is>
          <t>o inglês do jogo não segue o hanzi daqui em diante (lista desalinhada: pecados, virtudes etc.)</t>
        </is>
      </c>
      <c r="F191" s="2" t="inlineStr">
        <is>
          <t>da Ameaça</t>
        </is>
      </c>
      <c r="G191" s="3">
        <f>IF(F191="","","Técnica Sólida "&amp;F191)</f>
        <v/>
      </c>
    </row>
    <row r="192">
      <c r="A192" t="n">
        <v>191</v>
      </c>
      <c r="B192" t="inlineStr">
        <is>
          <t>猛</t>
        </is>
      </c>
      <c r="C192" t="inlineStr">
        <is>
          <t>bravo, violento</t>
        </is>
      </c>
      <c r="D192" t="inlineStr">
        <is>
          <t>Lasher's</t>
        </is>
      </c>
      <c r="E192" t="inlineStr">
        <is>
          <t>o inglês do jogo não segue o hanzi daqui em diante (lista desalinhada: pecados, virtudes etc.)</t>
        </is>
      </c>
      <c r="F192" s="2" t="inlineStr">
        <is>
          <t>da Bravura</t>
        </is>
      </c>
      <c r="G192" s="3">
        <f>IF(F192="","","Técnica Sólida "&amp;F192)</f>
        <v/>
      </c>
    </row>
    <row r="193">
      <c r="A193" t="n">
        <v>192</v>
      </c>
      <c r="B193" t="inlineStr">
        <is>
          <t>索</t>
        </is>
      </c>
      <c r="C193" t="inlineStr">
        <is>
          <t>corda, buscar</t>
        </is>
      </c>
      <c r="D193" t="inlineStr">
        <is>
          <t>Binder's</t>
        </is>
      </c>
      <c r="E193" t="inlineStr">
        <is>
          <t>o inglês do jogo não segue o hanzi daqui em diante (lista desalinhada: pecados, virtudes etc.)</t>
        </is>
      </c>
      <c r="F193" s="2" t="inlineStr">
        <is>
          <t>da Busca</t>
        </is>
      </c>
      <c r="G193" s="3">
        <f>IF(F193="","","Técnica Sólida "&amp;F193)</f>
        <v/>
      </c>
    </row>
    <row r="194">
      <c r="A194" t="n">
        <v>193</v>
      </c>
      <c r="B194" t="inlineStr">
        <is>
          <t>缚</t>
        </is>
      </c>
      <c r="C194" t="inlineStr">
        <is>
          <t>amarrar</t>
        </is>
      </c>
      <c r="D194" t="inlineStr">
        <is>
          <t>Dispersal's</t>
        </is>
      </c>
      <c r="E194" t="inlineStr">
        <is>
          <t>o inglês do jogo não segue o hanzi daqui em diante (lista desalinhada: pecados, virtudes etc.)</t>
        </is>
      </c>
      <c r="F194" s="2" t="inlineStr">
        <is>
          <t>da Amarra</t>
        </is>
      </c>
      <c r="G194" s="3">
        <f>IF(F194="","","Técnica Sólida "&amp;F194)</f>
        <v/>
      </c>
    </row>
    <row r="195">
      <c r="A195" t="n">
        <v>194</v>
      </c>
      <c r="B195" t="inlineStr">
        <is>
          <t>散</t>
        </is>
      </c>
      <c r="C195" t="inlineStr">
        <is>
          <t>dispersar</t>
        </is>
      </c>
      <c r="D195" t="inlineStr">
        <is>
          <t>Freedom's</t>
        </is>
      </c>
      <c r="E195" t="inlineStr">
        <is>
          <t>o inglês do jogo não segue o hanzi daqui em diante (lista desalinhada: pecados, virtudes etc.)</t>
        </is>
      </c>
      <c r="F195" s="2" t="inlineStr">
        <is>
          <t>da Dispersão</t>
        </is>
      </c>
      <c r="G195" s="3">
        <f>IF(F195="","","Técnica Sólida "&amp;F195)</f>
        <v/>
      </c>
    </row>
    <row r="196">
      <c r="A196" t="n">
        <v>195</v>
      </c>
      <c r="B196" t="inlineStr">
        <is>
          <t>逸</t>
        </is>
      </c>
      <c r="C196" t="inlineStr">
        <is>
          <t>escapar, livre</t>
        </is>
      </c>
      <c r="D196" t="inlineStr">
        <is>
          <t>Hidden's</t>
        </is>
      </c>
      <c r="E196" t="inlineStr">
        <is>
          <t>o inglês do jogo não segue o hanzi daqui em diante (lista desalinhada: pecados, virtudes etc.)</t>
        </is>
      </c>
      <c r="F196" s="2" t="inlineStr">
        <is>
          <t>da Liberdade</t>
        </is>
      </c>
      <c r="G196" s="3">
        <f>IF(F196="","","Técnica Sólida "&amp;F196)</f>
        <v/>
      </c>
    </row>
    <row r="197">
      <c r="A197" t="n">
        <v>196</v>
      </c>
      <c r="B197" t="inlineStr">
        <is>
          <t>隐</t>
        </is>
      </c>
      <c r="C197" t="inlineStr">
        <is>
          <t>oculto</t>
        </is>
      </c>
      <c r="D197" t="inlineStr">
        <is>
          <t>Aeon's</t>
        </is>
      </c>
      <c r="E197" t="inlineStr">
        <is>
          <t>o inglês do jogo não segue o hanzi daqui em diante (lista desalinhada: pecados, virtudes etc.)</t>
        </is>
      </c>
      <c r="F197" s="2" t="inlineStr">
        <is>
          <t>do Véu</t>
        </is>
      </c>
      <c r="G197" s="3">
        <f>IF(F197="","","Técnica Sólida "&amp;F197)</f>
        <v/>
      </c>
    </row>
    <row r="198">
      <c r="A198" t="n">
        <v>197</v>
      </c>
      <c r="B198" t="inlineStr">
        <is>
          <t>千</t>
        </is>
      </c>
      <c r="C198" t="inlineStr">
        <is>
          <t>mil</t>
        </is>
      </c>
      <c r="D198" t="inlineStr">
        <is>
          <t>Truth's</t>
        </is>
      </c>
      <c r="E198" t="inlineStr">
        <is>
          <t>o inglês do jogo não segue o hanzi daqui em diante (lista desalinhada: pecados, virtudes etc.)</t>
        </is>
      </c>
      <c r="F198" s="2" t="inlineStr">
        <is>
          <t>dos Mil</t>
        </is>
      </c>
      <c r="G198" s="3">
        <f>IF(F198="","","Técnica Sólida "&amp;F198)</f>
        <v/>
      </c>
    </row>
    <row r="199">
      <c r="A199" t="n">
        <v>198</v>
      </c>
      <c r="B199" t="inlineStr">
        <is>
          <t>乾</t>
        </is>
      </c>
      <c r="C199" t="inlineStr">
        <is>
          <t>céu; trigrama Qian</t>
        </is>
      </c>
      <c r="D199" t="inlineStr">
        <is>
          <t>Apocalypse's</t>
        </is>
      </c>
      <c r="E199" t="inlineStr">
        <is>
          <t>o inglês do jogo não segue o hanzi daqui em diante (lista desalinhada: pecados, virtudes etc.)</t>
        </is>
      </c>
      <c r="F199" s="2" t="inlineStr">
        <is>
          <t>do Trigrama Qian</t>
        </is>
      </c>
      <c r="G199" s="3">
        <f>IF(F199="","","Técnica Sólida "&amp;F199)</f>
        <v/>
      </c>
    </row>
    <row r="200">
      <c r="A200" t="n">
        <v>199</v>
      </c>
      <c r="B200" t="inlineStr">
        <is>
          <t>四</t>
        </is>
      </c>
      <c r="C200" t="inlineStr">
        <is>
          <t>quatro</t>
        </is>
      </c>
      <c r="D200" t="inlineStr">
        <is>
          <t>Remover's</t>
        </is>
      </c>
      <c r="E200" t="inlineStr">
        <is>
          <t>o inglês do jogo não segue o hanzi daqui em diante (lista desalinhada: pecados, virtudes etc.)</t>
        </is>
      </c>
      <c r="F200" s="2" t="inlineStr">
        <is>
          <t>dos Quatro</t>
        </is>
      </c>
      <c r="G200" s="3">
        <f>IF(F200="","","Técnica Sólida "&amp;F200)</f>
        <v/>
      </c>
    </row>
    <row r="201">
      <c r="A201" t="n">
        <v>200</v>
      </c>
      <c r="B201" t="inlineStr">
        <is>
          <t>移</t>
        </is>
      </c>
      <c r="C201" t="inlineStr">
        <is>
          <t>mover</t>
        </is>
      </c>
      <c r="D201" t="inlineStr">
        <is>
          <t>Memory's</t>
        </is>
      </c>
      <c r="E201" t="inlineStr">
        <is>
          <t>o inglês do jogo não segue o hanzi daqui em diante (lista desalinhada: pecados, virtudes etc.)</t>
        </is>
      </c>
      <c r="F201" s="2" t="inlineStr">
        <is>
          <t>do Movimento</t>
        </is>
      </c>
      <c r="G201" s="3">
        <f>IF(F201="","","Técnica Sólida "&amp;F201)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167" activePane="bottomLeft" state="frozen"/>
      <selection pane="bottomLeft" activeCell="F2" sqref="F2:G201"/>
    </sheetView>
  </sheetViews>
  <sheetFormatPr baseColWidth="8" defaultRowHeight="15"/>
  <cols>
    <col width="6" customWidth="1" min="1" max="1"/>
    <col width="7" customWidth="1" min="2" max="2"/>
    <col width="30" customWidth="1" min="3" max="3"/>
    <col width="16" customWidth="1" min="4" max="4"/>
    <col width="34" customWidth="1" min="5" max="5"/>
    <col width="20" customWidth="1" min="6" max="7"/>
    <col width="36" customWidth="1" min="8" max="9"/>
  </cols>
  <sheetData>
    <row r="1">
      <c r="A1" s="1" t="inlineStr">
        <is>
          <t>ID</t>
        </is>
      </c>
      <c r="B1" s="1" t="inlineStr">
        <is>
          <t>Hanzi</t>
        </is>
      </c>
      <c r="C1" s="1" t="inlineStr">
        <is>
          <t>Sentido do hanzi</t>
        </is>
      </c>
      <c r="D1" s="1" t="inlineStr">
        <is>
          <t>Inglês do jogo</t>
        </is>
      </c>
      <c r="E1" s="1" t="inlineStr">
        <is>
          <t>Obs.</t>
        </is>
      </c>
      <c r="F1" s="1" t="inlineStr">
        <is>
          <t>Masculino</t>
        </is>
      </c>
      <c r="G1" s="1" t="inlineStr">
        <is>
          <t>Feminino (se mudar)</t>
        </is>
      </c>
      <c r="H1" s="1" t="inlineStr">
        <is>
          <t>Exemplo masculino</t>
        </is>
      </c>
      <c r="I1" s="1" t="inlineStr">
        <is>
          <t>Exemplo feminino</t>
        </is>
      </c>
    </row>
    <row r="2">
      <c r="A2" t="n">
        <v>201</v>
      </c>
      <c r="B2" t="inlineStr">
        <is>
          <t>云</t>
        </is>
      </c>
      <c r="C2" t="inlineStr">
        <is>
          <t>nuvem</t>
        </is>
      </c>
      <c r="D2" t="inlineStr">
        <is>
          <t>Clouded</t>
        </is>
      </c>
      <c r="F2" s="2" t="inlineStr">
        <is>
          <t>Nublado</t>
        </is>
      </c>
      <c r="G2" s="2" t="inlineStr">
        <is>
          <t>Nublada</t>
        </is>
      </c>
      <c r="H2" s="3">
        <f>IF(F2="","","Manual Secreto "&amp;F2&amp;" do Imortal")</f>
        <v/>
      </c>
      <c r="I2" s="3">
        <f>IF(F2="","","Técnica "&amp;IF(G2="",F2,G2)&amp;" do Imortal")</f>
        <v/>
      </c>
    </row>
    <row r="3">
      <c r="A3" t="n">
        <v>202</v>
      </c>
      <c r="B3" t="inlineStr">
        <is>
          <t>羽</t>
        </is>
      </c>
      <c r="C3" t="inlineStr">
        <is>
          <t>pena, pluma</t>
        </is>
      </c>
      <c r="D3" t="inlineStr">
        <is>
          <t>Feathered</t>
        </is>
      </c>
      <c r="F3" s="2" t="inlineStr">
        <is>
          <t>Plumado</t>
        </is>
      </c>
      <c r="G3" s="2" t="inlineStr">
        <is>
          <t>Plumada</t>
        </is>
      </c>
      <c r="H3" s="3">
        <f>IF(F3="","","Manual Secreto "&amp;F3&amp;" do Imortal")</f>
        <v/>
      </c>
      <c r="I3" s="3">
        <f>IF(F3="","","Técnica "&amp;IF(G3="",F3,G3)&amp;" do Imortal")</f>
        <v/>
      </c>
    </row>
    <row r="4">
      <c r="A4" t="n">
        <v>203</v>
      </c>
      <c r="B4" t="inlineStr">
        <is>
          <t>雨</t>
        </is>
      </c>
      <c r="C4" t="inlineStr">
        <is>
          <t>chuva</t>
        </is>
      </c>
      <c r="D4" t="inlineStr">
        <is>
          <t>Drowned</t>
        </is>
      </c>
      <c r="F4" s="2" t="inlineStr">
        <is>
          <t>Chuvoso</t>
        </is>
      </c>
      <c r="G4" s="2" t="inlineStr">
        <is>
          <t>Chuvosa</t>
        </is>
      </c>
      <c r="H4" s="3">
        <f>IF(F4="","","Manual Secreto "&amp;F4&amp;" do Imortal")</f>
        <v/>
      </c>
      <c r="I4" s="3">
        <f>IF(F4="","","Técnica "&amp;IF(G4="",F4,G4)&amp;" do Imortal")</f>
        <v/>
      </c>
    </row>
    <row r="5">
      <c r="A5" t="n">
        <v>204</v>
      </c>
      <c r="B5" t="inlineStr">
        <is>
          <t>雪</t>
        </is>
      </c>
      <c r="C5" t="inlineStr">
        <is>
          <t>neve</t>
        </is>
      </c>
      <c r="D5" t="inlineStr">
        <is>
          <t>Frozen</t>
        </is>
      </c>
      <c r="F5" s="2" t="inlineStr">
        <is>
          <t>Nevado</t>
        </is>
      </c>
      <c r="G5" s="2" t="inlineStr">
        <is>
          <t>Nevada</t>
        </is>
      </c>
      <c r="H5" s="3">
        <f>IF(F5="","","Manual Secreto "&amp;F5&amp;" do Imortal")</f>
        <v/>
      </c>
      <c r="I5" s="3">
        <f>IF(F5="","","Técnica "&amp;IF(G5="",F5,G5)&amp;" do Imortal")</f>
        <v/>
      </c>
    </row>
    <row r="6">
      <c r="A6" t="n">
        <v>205</v>
      </c>
      <c r="B6" t="inlineStr">
        <is>
          <t>花</t>
        </is>
      </c>
      <c r="C6" t="inlineStr">
        <is>
          <t>flor</t>
        </is>
      </c>
      <c r="D6" t="inlineStr">
        <is>
          <t>Petaled</t>
        </is>
      </c>
      <c r="F6" s="2" t="inlineStr">
        <is>
          <t>Florido</t>
        </is>
      </c>
      <c r="G6" s="2" t="inlineStr">
        <is>
          <t>Florida</t>
        </is>
      </c>
      <c r="H6" s="3">
        <f>IF(F6="","","Manual Secreto "&amp;F6&amp;" do Imortal")</f>
        <v/>
      </c>
      <c r="I6" s="3">
        <f>IF(F6="","","Técnica "&amp;IF(G6="",F6,G6)&amp;" do Imortal")</f>
        <v/>
      </c>
    </row>
    <row r="7">
      <c r="A7" t="n">
        <v>206</v>
      </c>
      <c r="B7" t="inlineStr">
        <is>
          <t>星</t>
        </is>
      </c>
      <c r="C7" t="inlineStr">
        <is>
          <t>estrela</t>
        </is>
      </c>
      <c r="D7" t="inlineStr">
        <is>
          <t>Starry</t>
        </is>
      </c>
      <c r="F7" s="2" t="inlineStr">
        <is>
          <t>Estelar</t>
        </is>
      </c>
      <c r="G7" s="2" t="n"/>
      <c r="H7" s="3">
        <f>IF(F7="","","Manual Secreto "&amp;F7&amp;" do Imortal")</f>
        <v/>
      </c>
      <c r="I7" s="3">
        <f>IF(F7="","","Técnica "&amp;IF(G7="",F7,G7)&amp;" do Imortal")</f>
        <v/>
      </c>
    </row>
    <row r="8">
      <c r="A8" t="n">
        <v>207</v>
      </c>
      <c r="B8" t="inlineStr">
        <is>
          <t>月</t>
        </is>
      </c>
      <c r="C8" t="inlineStr">
        <is>
          <t>lua</t>
        </is>
      </c>
      <c r="D8" t="inlineStr">
        <is>
          <t>Moonlit</t>
        </is>
      </c>
      <c r="F8" s="2" t="inlineStr">
        <is>
          <t>Lunar</t>
        </is>
      </c>
      <c r="G8" s="2" t="n"/>
      <c r="H8" s="3">
        <f>IF(F8="","","Manual Secreto "&amp;F8&amp;" do Imortal")</f>
        <v/>
      </c>
      <c r="I8" s="3">
        <f>IF(F8="","","Técnica "&amp;IF(G8="",F8,G8)&amp;" do Imortal")</f>
        <v/>
      </c>
    </row>
    <row r="9">
      <c r="A9" t="n">
        <v>208</v>
      </c>
      <c r="B9" t="inlineStr">
        <is>
          <t>天</t>
        </is>
      </c>
      <c r="C9" t="inlineStr">
        <is>
          <t>céu</t>
        </is>
      </c>
      <c r="D9" t="inlineStr">
        <is>
          <t>Cerulean</t>
        </is>
      </c>
      <c r="F9" s="2" t="inlineStr">
        <is>
          <t>Celeste</t>
        </is>
      </c>
      <c r="G9" s="2" t="n"/>
      <c r="H9" s="3">
        <f>IF(F9="","","Manual Secreto "&amp;F9&amp;" do Imortal")</f>
        <v/>
      </c>
      <c r="I9" s="3">
        <f>IF(F9="","","Técnica "&amp;IF(G9="",F9,G9)&amp;" do Imortal")</f>
        <v/>
      </c>
    </row>
    <row r="10">
      <c r="A10" t="n">
        <v>209</v>
      </c>
      <c r="B10" t="inlineStr">
        <is>
          <t>空</t>
        </is>
      </c>
      <c r="C10" t="inlineStr">
        <is>
          <t>vazio</t>
        </is>
      </c>
      <c r="D10" t="inlineStr">
        <is>
          <t>Empty</t>
        </is>
      </c>
      <c r="F10" s="2" t="inlineStr">
        <is>
          <t>Vazio</t>
        </is>
      </c>
      <c r="G10" s="2" t="inlineStr">
        <is>
          <t>Vazia</t>
        </is>
      </c>
      <c r="H10" s="3">
        <f>IF(F10="","","Manual Secreto "&amp;F10&amp;" do Imortal")</f>
        <v/>
      </c>
      <c r="I10" s="3">
        <f>IF(F10="","","Técnica "&amp;IF(G10="",F10,G10)&amp;" do Imortal")</f>
        <v/>
      </c>
    </row>
    <row r="11">
      <c r="A11" t="n">
        <v>210</v>
      </c>
      <c r="B11" t="inlineStr">
        <is>
          <t>魂</t>
        </is>
      </c>
      <c r="C11" t="inlineStr">
        <is>
          <t>alma</t>
        </is>
      </c>
      <c r="D11" t="inlineStr">
        <is>
          <t>Ensouled</t>
        </is>
      </c>
      <c r="F11" s="2" t="inlineStr">
        <is>
          <t>Anímico</t>
        </is>
      </c>
      <c r="G11" s="2" t="inlineStr">
        <is>
          <t>Anímica</t>
        </is>
      </c>
      <c r="H11" s="3">
        <f>IF(F11="","","Manual Secreto "&amp;F11&amp;" do Imortal")</f>
        <v/>
      </c>
      <c r="I11" s="3">
        <f>IF(F11="","","Técnica "&amp;IF(G11="",F11,G11)&amp;" do Imortal")</f>
        <v/>
      </c>
    </row>
    <row r="12">
      <c r="A12" t="n">
        <v>211</v>
      </c>
      <c r="B12" t="inlineStr">
        <is>
          <t>霜</t>
        </is>
      </c>
      <c r="C12" t="inlineStr">
        <is>
          <t>geada</t>
        </is>
      </c>
      <c r="D12" t="inlineStr">
        <is>
          <t>Frosty</t>
        </is>
      </c>
      <c r="F12" s="2" t="inlineStr">
        <is>
          <t>Gélido</t>
        </is>
      </c>
      <c r="G12" s="2" t="inlineStr">
        <is>
          <t>Gélida</t>
        </is>
      </c>
      <c r="H12" s="3">
        <f>IF(F12="","","Manual Secreto "&amp;F12&amp;" do Imortal")</f>
        <v/>
      </c>
      <c r="I12" s="3">
        <f>IF(F12="","","Técnica "&amp;IF(G12="",F12,G12)&amp;" do Imortal")</f>
        <v/>
      </c>
    </row>
    <row r="13">
      <c r="A13" t="n">
        <v>212</v>
      </c>
      <c r="B13" t="inlineStr">
        <is>
          <t>神</t>
        </is>
      </c>
      <c r="C13" t="inlineStr">
        <is>
          <t>divino</t>
        </is>
      </c>
      <c r="D13" t="inlineStr">
        <is>
          <t>Spirited</t>
        </is>
      </c>
      <c r="F13" s="2" t="inlineStr">
        <is>
          <t>Divino</t>
        </is>
      </c>
      <c r="G13" s="2" t="inlineStr">
        <is>
          <t>Divina</t>
        </is>
      </c>
      <c r="H13" s="3">
        <f>IF(F13="","","Manual Secreto "&amp;F13&amp;" do Imortal")</f>
        <v/>
      </c>
      <c r="I13" s="3">
        <f>IF(F13="","","Técnica "&amp;IF(G13="",F13,G13)&amp;" do Imortal")</f>
        <v/>
      </c>
    </row>
    <row r="14">
      <c r="A14" t="n">
        <v>213</v>
      </c>
      <c r="B14" t="inlineStr">
        <is>
          <t>元</t>
        </is>
      </c>
      <c r="C14" t="inlineStr">
        <is>
          <t>primordial</t>
        </is>
      </c>
      <c r="D14" t="inlineStr">
        <is>
          <t>Original</t>
        </is>
      </c>
      <c r="F14" s="2" t="inlineStr">
        <is>
          <t>Primordial</t>
        </is>
      </c>
      <c r="G14" s="2" t="n"/>
      <c r="H14" s="3">
        <f>IF(F14="","","Manual Secreto "&amp;F14&amp;" do Imortal")</f>
        <v/>
      </c>
      <c r="I14" s="3">
        <f>IF(F14="","","Técnica "&amp;IF(G14="",F14,G14)&amp;" do Imortal")</f>
        <v/>
      </c>
    </row>
    <row r="15">
      <c r="A15" t="n">
        <v>214</v>
      </c>
      <c r="B15" t="inlineStr">
        <is>
          <t>气</t>
        </is>
      </c>
      <c r="C15" t="inlineStr">
        <is>
          <t>qi, ar</t>
        </is>
      </c>
      <c r="D15" t="inlineStr">
        <is>
          <t>Airy</t>
        </is>
      </c>
      <c r="F15" s="2" t="inlineStr">
        <is>
          <t>Eóleo</t>
        </is>
      </c>
      <c r="G15" s="2" t="inlineStr">
        <is>
          <t>Eólea</t>
        </is>
      </c>
      <c r="H15" s="3">
        <f>IF(F15="","","Manual Secreto "&amp;F15&amp;" do Imortal")</f>
        <v/>
      </c>
      <c r="I15" s="3">
        <f>IF(F15="","","Técnica "&amp;IF(G15="",F15,G15)&amp;" do Imortal")</f>
        <v/>
      </c>
    </row>
    <row r="16">
      <c r="A16" t="n">
        <v>215</v>
      </c>
      <c r="B16" t="inlineStr">
        <is>
          <t>日</t>
        </is>
      </c>
      <c r="C16" t="inlineStr">
        <is>
          <t>sol, dia</t>
        </is>
      </c>
      <c r="D16" t="inlineStr">
        <is>
          <t>Sunny</t>
        </is>
      </c>
      <c r="F16" s="2" t="inlineStr">
        <is>
          <t>Solar</t>
        </is>
      </c>
      <c r="G16" s="2" t="n"/>
      <c r="H16" s="3">
        <f>IF(F16="","","Manual Secreto "&amp;F16&amp;" do Imortal")</f>
        <v/>
      </c>
      <c r="I16" s="3">
        <f>IF(F16="","","Técnica "&amp;IF(G16="",F16,G16)&amp;" do Imortal")</f>
        <v/>
      </c>
    </row>
    <row r="17">
      <c r="A17" t="n">
        <v>216</v>
      </c>
      <c r="B17" t="inlineStr">
        <is>
          <t>仞</t>
        </is>
      </c>
      <c r="C17" t="inlineStr">
        <is>
          <t>escarpa (medida antiga de altura)</t>
        </is>
      </c>
      <c r="D17" t="inlineStr">
        <is>
          <t>Edged</t>
        </is>
      </c>
      <c r="F17" s="2" t="inlineStr">
        <is>
          <t>Escarpado</t>
        </is>
      </c>
      <c r="G17" s="2" t="inlineStr">
        <is>
          <t>Escarpada</t>
        </is>
      </c>
      <c r="H17" s="3">
        <f>IF(F17="","","Manual Secreto "&amp;F17&amp;" do Imortal")</f>
        <v/>
      </c>
      <c r="I17" s="3">
        <f>IF(F17="","","Técnica "&amp;IF(G17="",F17,G17)&amp;" do Imortal")</f>
        <v/>
      </c>
    </row>
    <row r="18">
      <c r="A18" t="n">
        <v>217</v>
      </c>
      <c r="B18" t="inlineStr">
        <is>
          <t>冥</t>
        </is>
      </c>
      <c r="C18" t="inlineStr">
        <is>
          <t>submundo, trevas</t>
        </is>
      </c>
      <c r="D18" t="inlineStr">
        <is>
          <t>Nether</t>
        </is>
      </c>
      <c r="F18" s="2" t="inlineStr">
        <is>
          <t>Abissal</t>
        </is>
      </c>
      <c r="G18" s="2" t="n"/>
      <c r="H18" s="3">
        <f>IF(F18="","","Manual Secreto "&amp;F18&amp;" do Imortal")</f>
        <v/>
      </c>
      <c r="I18" s="3">
        <f>IF(F18="","","Técnica "&amp;IF(G18="",F18,G18)&amp;" do Imortal")</f>
        <v/>
      </c>
    </row>
    <row r="19">
      <c r="A19" t="n">
        <v>218</v>
      </c>
      <c r="B19" t="inlineStr">
        <is>
          <t>灵</t>
        </is>
      </c>
      <c r="C19" t="inlineStr">
        <is>
          <t>espírito, éter</t>
        </is>
      </c>
      <c r="D19" t="inlineStr">
        <is>
          <t>Ethereal</t>
        </is>
      </c>
      <c r="F19" s="2" t="inlineStr">
        <is>
          <t>Espiritual</t>
        </is>
      </c>
      <c r="G19" s="2" t="n"/>
      <c r="H19" s="3">
        <f>IF(F19="","","Manual Secreto "&amp;F19&amp;" do Imortal")</f>
        <v/>
      </c>
      <c r="I19" s="3">
        <f>IF(F19="","","Técnica "&amp;IF(G19="",F19,G19)&amp;" do Imortal")</f>
        <v/>
      </c>
    </row>
    <row r="20">
      <c r="A20" t="n">
        <v>219</v>
      </c>
      <c r="B20" t="inlineStr">
        <is>
          <t>影</t>
        </is>
      </c>
      <c r="C20" t="inlineStr">
        <is>
          <t>sombra</t>
        </is>
      </c>
      <c r="D20" t="inlineStr">
        <is>
          <t>Shadowy</t>
        </is>
      </c>
      <c r="F20" s="2" t="inlineStr">
        <is>
          <t>Sombrio</t>
        </is>
      </c>
      <c r="G20" s="2" t="inlineStr">
        <is>
          <t>Sombria</t>
        </is>
      </c>
      <c r="H20" s="3">
        <f>IF(F20="","","Manual Secreto "&amp;F20&amp;" do Imortal")</f>
        <v/>
      </c>
      <c r="I20" s="3">
        <f>IF(F20="","","Técnica "&amp;IF(G20="",F20,G20)&amp;" do Imortal")</f>
        <v/>
      </c>
    </row>
    <row r="21">
      <c r="A21" t="n">
        <v>220</v>
      </c>
      <c r="B21" t="inlineStr">
        <is>
          <t>尘</t>
        </is>
      </c>
      <c r="C21" t="inlineStr">
        <is>
          <t>poeira</t>
        </is>
      </c>
      <c r="D21" t="inlineStr">
        <is>
          <t>Dusted</t>
        </is>
      </c>
      <c r="F21" s="2" t="inlineStr">
        <is>
          <t>Cinéreo</t>
        </is>
      </c>
      <c r="G21" s="2" t="inlineStr">
        <is>
          <t>Cinérea</t>
        </is>
      </c>
      <c r="H21" s="3">
        <f>IF(F21="","","Manual Secreto "&amp;F21&amp;" do Imortal")</f>
        <v/>
      </c>
      <c r="I21" s="3">
        <f>IF(F21="","","Técnica "&amp;IF(G21="",F21,G21)&amp;" do Imortal")</f>
        <v/>
      </c>
    </row>
    <row r="22">
      <c r="A22" t="n">
        <v>221</v>
      </c>
      <c r="B22" t="inlineStr">
        <is>
          <t>音</t>
        </is>
      </c>
      <c r="C22" t="inlineStr">
        <is>
          <t>som</t>
        </is>
      </c>
      <c r="D22" t="inlineStr">
        <is>
          <t>Chiming</t>
        </is>
      </c>
      <c r="F22" s="2" t="inlineStr">
        <is>
          <t>Sonoro</t>
        </is>
      </c>
      <c r="G22" s="2" t="inlineStr">
        <is>
          <t>Sonora</t>
        </is>
      </c>
      <c r="H22" s="3">
        <f>IF(F22="","","Manual Secreto "&amp;F22&amp;" do Imortal")</f>
        <v/>
      </c>
      <c r="I22" s="3">
        <f>IF(F22="","","Técnica "&amp;IF(G22="",F22,G22)&amp;" do Imortal")</f>
        <v/>
      </c>
    </row>
    <row r="23">
      <c r="A23" t="n">
        <v>222</v>
      </c>
      <c r="B23" t="inlineStr">
        <is>
          <t>阳</t>
        </is>
      </c>
      <c r="C23" t="inlineStr">
        <is>
          <t>sol, yang</t>
        </is>
      </c>
      <c r="D23" t="inlineStr">
        <is>
          <t>Sunlit</t>
        </is>
      </c>
      <c r="F23" s="2" t="inlineStr">
        <is>
          <t>Radiante</t>
        </is>
      </c>
      <c r="G23" s="2" t="n"/>
      <c r="H23" s="3">
        <f>IF(F23="","","Manual Secreto "&amp;F23&amp;" do Imortal")</f>
        <v/>
      </c>
      <c r="I23" s="3">
        <f>IF(F23="","","Técnica "&amp;IF(G23="",F23,G23)&amp;" do Imortal")</f>
        <v/>
      </c>
    </row>
    <row r="24">
      <c r="A24" t="n">
        <v>223</v>
      </c>
      <c r="B24" t="inlineStr">
        <is>
          <t>痕</t>
        </is>
      </c>
      <c r="C24" t="inlineStr">
        <is>
          <t>cicatriz, marca</t>
        </is>
      </c>
      <c r="D24" t="inlineStr">
        <is>
          <t>Wounded</t>
        </is>
      </c>
      <c r="F24" s="2" t="inlineStr">
        <is>
          <t>Marcado</t>
        </is>
      </c>
      <c r="G24" s="2" t="inlineStr">
        <is>
          <t>Marcada</t>
        </is>
      </c>
      <c r="H24" s="3">
        <f>IF(F24="","","Manual Secreto "&amp;F24&amp;" do Imortal")</f>
        <v/>
      </c>
      <c r="I24" s="3">
        <f>IF(F24="","","Técnica "&amp;IF(G24="",F24,G24)&amp;" do Imortal")</f>
        <v/>
      </c>
    </row>
    <row r="25">
      <c r="A25" t="n">
        <v>224</v>
      </c>
      <c r="B25" t="inlineStr">
        <is>
          <t>龙</t>
        </is>
      </c>
      <c r="C25" t="inlineStr">
        <is>
          <t>dragão</t>
        </is>
      </c>
      <c r="D25" t="inlineStr">
        <is>
          <t>Draconic</t>
        </is>
      </c>
      <c r="F25" s="2" t="inlineStr">
        <is>
          <t>Draconiano</t>
        </is>
      </c>
      <c r="G25" s="2" t="inlineStr">
        <is>
          <t>Draconiana</t>
        </is>
      </c>
      <c r="H25" s="3">
        <f>IF(F25="","","Manual Secreto "&amp;F25&amp;" do Imortal")</f>
        <v/>
      </c>
      <c r="I25" s="3">
        <f>IF(F25="","","Técnica "&amp;IF(G25="",F25,G25)&amp;" do Imortal")</f>
        <v/>
      </c>
    </row>
    <row r="26">
      <c r="A26" t="n">
        <v>225</v>
      </c>
      <c r="B26" t="inlineStr">
        <is>
          <t>血</t>
        </is>
      </c>
      <c r="C26" t="inlineStr">
        <is>
          <t>sangue</t>
        </is>
      </c>
      <c r="D26" t="inlineStr">
        <is>
          <t>Blooded</t>
        </is>
      </c>
      <c r="F26" s="2" t="inlineStr">
        <is>
          <t>Sanguinário</t>
        </is>
      </c>
      <c r="G26" s="2" t="inlineStr">
        <is>
          <t>Sanguinária</t>
        </is>
      </c>
      <c r="H26" s="3">
        <f>IF(F26="","","Manual Secreto "&amp;F26&amp;" do Imortal")</f>
        <v/>
      </c>
      <c r="I26" s="3">
        <f>IF(F26="","","Técnica "&amp;IF(G26="",F26,G26)&amp;" do Imortal")</f>
        <v/>
      </c>
    </row>
    <row r="27">
      <c r="A27" t="n">
        <v>226</v>
      </c>
      <c r="B27" t="inlineStr">
        <is>
          <t>锋</t>
        </is>
      </c>
      <c r="C27" t="inlineStr">
        <is>
          <t>gume</t>
        </is>
      </c>
      <c r="D27" t="inlineStr">
        <is>
          <t>Edgy</t>
        </is>
      </c>
      <c r="F27" s="2" t="inlineStr">
        <is>
          <t>Afiado</t>
        </is>
      </c>
      <c r="G27" s="2" t="inlineStr">
        <is>
          <t>Afiada</t>
        </is>
      </c>
      <c r="H27" s="3">
        <f>IF(F27="","","Manual Secreto "&amp;F27&amp;" do Imortal")</f>
        <v/>
      </c>
      <c r="I27" s="3">
        <f>IF(F27="","","Técnica "&amp;IF(G27="",F27,G27)&amp;" do Imortal")</f>
        <v/>
      </c>
    </row>
    <row r="28">
      <c r="A28" t="n">
        <v>227</v>
      </c>
      <c r="B28" t="inlineStr">
        <is>
          <t>心</t>
        </is>
      </c>
      <c r="C28" t="inlineStr">
        <is>
          <t>coração</t>
        </is>
      </c>
      <c r="D28" t="inlineStr">
        <is>
          <t>Heartfelt</t>
        </is>
      </c>
      <c r="F28" s="2" t="inlineStr">
        <is>
          <t>Cordial</t>
        </is>
      </c>
      <c r="G28" s="2" t="n"/>
      <c r="H28" s="3">
        <f>IF(F28="","","Manual Secreto "&amp;F28&amp;" do Imortal")</f>
        <v/>
      </c>
      <c r="I28" s="3">
        <f>IF(F28="","","Técnica "&amp;IF(G28="",F28,G28)&amp;" do Imortal")</f>
        <v/>
      </c>
    </row>
    <row r="29">
      <c r="A29" t="n">
        <v>228</v>
      </c>
      <c r="B29" t="inlineStr">
        <is>
          <t>山</t>
        </is>
      </c>
      <c r="C29" t="inlineStr">
        <is>
          <t>montanha</t>
        </is>
      </c>
      <c r="D29" t="inlineStr">
        <is>
          <t>Hilly</t>
        </is>
      </c>
      <c r="F29" s="2" t="inlineStr">
        <is>
          <t>Montanhês</t>
        </is>
      </c>
      <c r="G29" s="2" t="inlineStr">
        <is>
          <t>Montanhesa</t>
        </is>
      </c>
      <c r="H29" s="3">
        <f>IF(F29="","","Manual Secreto "&amp;F29&amp;" do Imortal")</f>
        <v/>
      </c>
      <c r="I29" s="3">
        <f>IF(F29="","","Técnica "&amp;IF(G29="",F29,G29)&amp;" do Imortal")</f>
        <v/>
      </c>
    </row>
    <row r="30">
      <c r="A30" t="n">
        <v>229</v>
      </c>
      <c r="B30" t="inlineStr">
        <is>
          <t>阴</t>
        </is>
      </c>
      <c r="C30" t="inlineStr">
        <is>
          <t>sombra, yin</t>
        </is>
      </c>
      <c r="D30" t="inlineStr">
        <is>
          <t>Dark</t>
        </is>
      </c>
      <c r="F30" s="2" t="inlineStr">
        <is>
          <t>Obscuro</t>
        </is>
      </c>
      <c r="G30" s="2" t="inlineStr">
        <is>
          <t>Obscura</t>
        </is>
      </c>
      <c r="H30" s="3">
        <f>IF(F30="","","Manual Secreto "&amp;F30&amp;" do Imortal")</f>
        <v/>
      </c>
      <c r="I30" s="3">
        <f>IF(F30="","","Técnica "&amp;IF(G30="",F30,G30)&amp;" do Imortal")</f>
        <v/>
      </c>
    </row>
    <row r="31">
      <c r="A31" t="n">
        <v>230</v>
      </c>
      <c r="B31" t="inlineStr">
        <is>
          <t>翼</t>
        </is>
      </c>
      <c r="C31" t="inlineStr">
        <is>
          <t>asa</t>
        </is>
      </c>
      <c r="D31" t="inlineStr">
        <is>
          <t>Winged</t>
        </is>
      </c>
      <c r="F31" s="2" t="inlineStr">
        <is>
          <t>Alado</t>
        </is>
      </c>
      <c r="G31" s="2" t="inlineStr">
        <is>
          <t>Alada</t>
        </is>
      </c>
      <c r="H31" s="3">
        <f>IF(F31="","","Manual Secreto "&amp;F31&amp;" do Imortal")</f>
        <v/>
      </c>
      <c r="I31" s="3">
        <f>IF(F31="","","Técnica "&amp;IF(G31="",F31,G31)&amp;" do Imortal")</f>
        <v/>
      </c>
    </row>
    <row r="32">
      <c r="A32" t="n">
        <v>231</v>
      </c>
      <c r="B32" t="inlineStr">
        <is>
          <t>梦</t>
        </is>
      </c>
      <c r="C32" t="inlineStr">
        <is>
          <t>sonho</t>
        </is>
      </c>
      <c r="D32" t="inlineStr">
        <is>
          <t>Dreamy</t>
        </is>
      </c>
      <c r="F32" s="2" t="inlineStr">
        <is>
          <t>Onírico</t>
        </is>
      </c>
      <c r="G32" s="2" t="inlineStr">
        <is>
          <t>Onírica</t>
        </is>
      </c>
      <c r="H32" s="3">
        <f>IF(F32="","","Manual Secreto "&amp;F32&amp;" do Imortal")</f>
        <v/>
      </c>
      <c r="I32" s="3">
        <f>IF(F32="","","Técnica "&amp;IF(G32="",F32,G32)&amp;" do Imortal")</f>
        <v/>
      </c>
    </row>
    <row r="33">
      <c r="A33" t="n">
        <v>232</v>
      </c>
      <c r="B33" t="inlineStr">
        <is>
          <t>光</t>
        </is>
      </c>
      <c r="C33" t="inlineStr">
        <is>
          <t>luz</t>
        </is>
      </c>
      <c r="D33" t="inlineStr">
        <is>
          <t>Light</t>
        </is>
      </c>
      <c r="F33" s="2" t="inlineStr">
        <is>
          <t>Luminoso</t>
        </is>
      </c>
      <c r="G33" s="2" t="inlineStr">
        <is>
          <t>Luminosa</t>
        </is>
      </c>
      <c r="H33" s="3">
        <f>IF(F33="","","Manual Secreto "&amp;F33&amp;" do Imortal")</f>
        <v/>
      </c>
      <c r="I33" s="3">
        <f>IF(F33="","","Técnica "&amp;IF(G33="",F33,G33)&amp;" do Imortal")</f>
        <v/>
      </c>
    </row>
    <row r="34">
      <c r="A34" t="n">
        <v>233</v>
      </c>
      <c r="B34" t="inlineStr">
        <is>
          <t>莲</t>
        </is>
      </c>
      <c r="C34" t="inlineStr">
        <is>
          <t>lótus</t>
        </is>
      </c>
      <c r="D34" t="inlineStr">
        <is>
          <t>Blooming</t>
        </is>
      </c>
      <c r="F34" s="2" t="inlineStr">
        <is>
          <t>Imaculado</t>
        </is>
      </c>
      <c r="G34" s="2" t="inlineStr">
        <is>
          <t>Imaculada</t>
        </is>
      </c>
      <c r="H34" s="3">
        <f>IF(F34="","","Manual Secreto "&amp;F34&amp;" do Imortal")</f>
        <v/>
      </c>
      <c r="I34" s="3">
        <f>IF(F34="","","Técnica "&amp;IF(G34="",F34,G34)&amp;" do Imortal")</f>
        <v/>
      </c>
    </row>
    <row r="35">
      <c r="A35" t="n">
        <v>234</v>
      </c>
      <c r="B35" t="inlineStr">
        <is>
          <t>域</t>
        </is>
      </c>
      <c r="C35" t="inlineStr">
        <is>
          <t>domínio, reino</t>
        </is>
      </c>
      <c r="D35" t="inlineStr">
        <is>
          <t>Worldly</t>
        </is>
      </c>
      <c r="F35" s="2" t="inlineStr">
        <is>
          <t>Soberano</t>
        </is>
      </c>
      <c r="G35" s="2" t="inlineStr">
        <is>
          <t>Soberana</t>
        </is>
      </c>
      <c r="H35" s="3">
        <f>IF(F35="","","Manual Secreto "&amp;F35&amp;" do Imortal")</f>
        <v/>
      </c>
      <c r="I35" s="3">
        <f>IF(F35="","","Técnica "&amp;IF(G35="",F35,G35)&amp;" do Imortal")</f>
        <v/>
      </c>
    </row>
    <row r="36">
      <c r="A36" t="n">
        <v>235</v>
      </c>
      <c r="B36" t="inlineStr">
        <is>
          <t>魔</t>
        </is>
      </c>
      <c r="C36" t="inlineStr">
        <is>
          <t>demônio</t>
        </is>
      </c>
      <c r="D36" t="inlineStr">
        <is>
          <t>Demonic</t>
        </is>
      </c>
      <c r="F36" s="2" t="inlineStr">
        <is>
          <t>Demoníaco</t>
        </is>
      </c>
      <c r="G36" s="2" t="inlineStr">
        <is>
          <t>Demoníaca</t>
        </is>
      </c>
      <c r="H36" s="3">
        <f>IF(F36="","","Manual Secreto "&amp;F36&amp;" do Imortal")</f>
        <v/>
      </c>
      <c r="I36" s="3">
        <f>IF(F36="","","Técnica "&amp;IF(G36="",F36,G36)&amp;" do Imortal")</f>
        <v/>
      </c>
    </row>
    <row r="37">
      <c r="A37" t="n">
        <v>236</v>
      </c>
      <c r="B37" t="inlineStr">
        <is>
          <t>鸦</t>
        </is>
      </c>
      <c r="C37" t="inlineStr">
        <is>
          <t>corvo</t>
        </is>
      </c>
      <c r="D37" t="inlineStr">
        <is>
          <t>Cawing</t>
        </is>
      </c>
      <c r="F37" s="2" t="inlineStr">
        <is>
          <t>Corvino</t>
        </is>
      </c>
      <c r="G37" s="2" t="inlineStr">
        <is>
          <t>Corvina</t>
        </is>
      </c>
      <c r="H37" s="3">
        <f>IF(F37="","","Manual Secreto "&amp;F37&amp;" do Imortal")</f>
        <v/>
      </c>
      <c r="I37" s="3">
        <f>IF(F37="","","Técnica "&amp;IF(G37="",F37,G37)&amp;" do Imortal")</f>
        <v/>
      </c>
    </row>
    <row r="38">
      <c r="A38" t="n">
        <v>237</v>
      </c>
      <c r="B38" t="inlineStr">
        <is>
          <t>狱</t>
        </is>
      </c>
      <c r="C38" t="inlineStr">
        <is>
          <t>prisão, inferno</t>
        </is>
      </c>
      <c r="D38" t="inlineStr">
        <is>
          <t>Binding</t>
        </is>
      </c>
      <c r="F38" s="2" t="inlineStr">
        <is>
          <t>Infernal</t>
        </is>
      </c>
      <c r="G38" s="2" t="n"/>
      <c r="H38" s="3">
        <f>IF(F38="","","Manual Secreto "&amp;F38&amp;" do Imortal")</f>
        <v/>
      </c>
      <c r="I38" s="3">
        <f>IF(F38="","","Técnica "&amp;IF(G38="",F38,G38)&amp;" do Imortal")</f>
        <v/>
      </c>
    </row>
    <row r="39">
      <c r="A39" t="n">
        <v>238</v>
      </c>
      <c r="B39" t="inlineStr">
        <is>
          <t>邪</t>
        </is>
      </c>
      <c r="C39" t="inlineStr">
        <is>
          <t>maligno</t>
        </is>
      </c>
      <c r="D39" t="inlineStr">
        <is>
          <t>Evil</t>
        </is>
      </c>
      <c r="F39" s="2" t="inlineStr">
        <is>
          <t>Maligno</t>
        </is>
      </c>
      <c r="G39" s="2" t="inlineStr">
        <is>
          <t>Maligna</t>
        </is>
      </c>
      <c r="H39" s="3">
        <f>IF(F39="","","Manual Secreto "&amp;F39&amp;" do Imortal")</f>
        <v/>
      </c>
      <c r="I39" s="3">
        <f>IF(F39="","","Técnica "&amp;IF(G39="",F39,G39)&amp;" do Imortal")</f>
        <v/>
      </c>
    </row>
    <row r="40">
      <c r="A40" t="n">
        <v>239</v>
      </c>
      <c r="B40" t="inlineStr">
        <is>
          <t>烟</t>
        </is>
      </c>
      <c r="C40" t="inlineStr">
        <is>
          <t>fumaça</t>
        </is>
      </c>
      <c r="D40" t="inlineStr">
        <is>
          <t>Smoky</t>
        </is>
      </c>
      <c r="F40" s="2" t="inlineStr">
        <is>
          <t>Fumegante</t>
        </is>
      </c>
      <c r="G40" s="2" t="n"/>
      <c r="H40" s="3">
        <f>IF(F40="","","Manual Secreto "&amp;F40&amp;" do Imortal")</f>
        <v/>
      </c>
      <c r="I40" s="3">
        <f>IF(F40="","","Técnica "&amp;IF(G40="",F40,G40)&amp;" do Imortal")</f>
        <v/>
      </c>
    </row>
    <row r="41">
      <c r="A41" t="n">
        <v>240</v>
      </c>
      <c r="B41" t="inlineStr">
        <is>
          <t>墨</t>
        </is>
      </c>
      <c r="C41" t="inlineStr">
        <is>
          <t>tinta (nanquim)</t>
        </is>
      </c>
      <c r="D41" t="inlineStr">
        <is>
          <t>Inky</t>
        </is>
      </c>
      <c r="F41" s="2" t="inlineStr">
        <is>
          <t>Tingido</t>
        </is>
      </c>
      <c r="G41" s="2" t="inlineStr">
        <is>
          <t>Tingida</t>
        </is>
      </c>
      <c r="H41" s="3">
        <f>IF(F41="","","Manual Secreto "&amp;F41&amp;" do Imortal")</f>
        <v/>
      </c>
      <c r="I41" s="3">
        <f>IF(F41="","","Técnica "&amp;IF(G41="",F41,G41)&amp;" do Imortal")</f>
        <v/>
      </c>
    </row>
    <row r="42">
      <c r="A42" t="n">
        <v>241</v>
      </c>
      <c r="B42" t="inlineStr">
        <is>
          <t>雷</t>
        </is>
      </c>
      <c r="C42" t="inlineStr">
        <is>
          <t>trovão</t>
        </is>
      </c>
      <c r="D42" t="inlineStr">
        <is>
          <t>Thundrous</t>
        </is>
      </c>
      <c r="F42" s="2" t="inlineStr">
        <is>
          <t>Trovejante</t>
        </is>
      </c>
      <c r="G42" s="2" t="n"/>
      <c r="H42" s="3">
        <f>IF(F42="","","Manual Secreto "&amp;F42&amp;" do Imortal")</f>
        <v/>
      </c>
      <c r="I42" s="3">
        <f>IF(F42="","","Técnica "&amp;IF(G42="",F42,G42)&amp;" do Imortal")</f>
        <v/>
      </c>
    </row>
    <row r="43">
      <c r="A43" t="n">
        <v>242</v>
      </c>
      <c r="B43" t="inlineStr">
        <is>
          <t>樱</t>
        </is>
      </c>
      <c r="C43" t="inlineStr">
        <is>
          <t>cerejeira</t>
        </is>
      </c>
      <c r="D43" t="inlineStr">
        <is>
          <t>Cherry</t>
        </is>
      </c>
      <c r="F43" s="2" t="inlineStr">
        <is>
          <t>Rosado</t>
        </is>
      </c>
      <c r="G43" s="2" t="inlineStr">
        <is>
          <t>Rosada</t>
        </is>
      </c>
      <c r="H43" s="3">
        <f>IF(F43="","","Manual Secreto "&amp;F43&amp;" do Imortal")</f>
        <v/>
      </c>
      <c r="I43" s="3">
        <f>IF(F43="","","Técnica "&amp;IF(G43="",F43,G43)&amp;" do Imortal")</f>
        <v/>
      </c>
    </row>
    <row r="44">
      <c r="A44" t="n">
        <v>243</v>
      </c>
      <c r="B44" t="inlineStr">
        <is>
          <t>夜</t>
        </is>
      </c>
      <c r="C44" t="inlineStr">
        <is>
          <t>noite</t>
        </is>
      </c>
      <c r="D44" t="inlineStr">
        <is>
          <t>Nightly</t>
        </is>
      </c>
      <c r="F44" s="2" t="inlineStr">
        <is>
          <t>Noturno</t>
        </is>
      </c>
      <c r="G44" s="2" t="inlineStr">
        <is>
          <t>Noturna</t>
        </is>
      </c>
      <c r="H44" s="3">
        <f>IF(F44="","","Manual Secreto "&amp;F44&amp;" do Imortal")</f>
        <v/>
      </c>
      <c r="I44" s="3">
        <f>IF(F44="","","Técnica "&amp;IF(G44="",F44,G44)&amp;" do Imortal")</f>
        <v/>
      </c>
    </row>
    <row r="45">
      <c r="A45" t="n">
        <v>244</v>
      </c>
      <c r="B45" t="inlineStr">
        <is>
          <t>玉</t>
        </is>
      </c>
      <c r="C45" t="inlineStr">
        <is>
          <t>jade</t>
        </is>
      </c>
      <c r="D45" t="inlineStr">
        <is>
          <t>Jade</t>
        </is>
      </c>
      <c r="F45" s="2" t="inlineStr">
        <is>
          <t>Precioso</t>
        </is>
      </c>
      <c r="G45" s="2" t="inlineStr">
        <is>
          <t>Preciosa</t>
        </is>
      </c>
      <c r="H45" s="3">
        <f>IF(F45="","","Manual Secreto "&amp;F45&amp;" do Imortal")</f>
        <v/>
      </c>
      <c r="I45" s="3">
        <f>IF(F45="","","Técnica "&amp;IF(G45="",F45,G45)&amp;" do Imortal")</f>
        <v/>
      </c>
    </row>
    <row r="46">
      <c r="A46" t="n">
        <v>245</v>
      </c>
      <c r="B46" t="inlineStr">
        <is>
          <t>寒</t>
        </is>
      </c>
      <c r="C46" t="inlineStr">
        <is>
          <t>frio</t>
        </is>
      </c>
      <c r="D46" t="inlineStr">
        <is>
          <t>Cold</t>
        </is>
      </c>
      <c r="F46" s="2" t="inlineStr">
        <is>
          <t>Frígido</t>
        </is>
      </c>
      <c r="G46" s="2" t="inlineStr">
        <is>
          <t>Frígida</t>
        </is>
      </c>
      <c r="H46" s="3">
        <f>IF(F46="","","Manual Secreto "&amp;F46&amp;" do Imortal")</f>
        <v/>
      </c>
      <c r="I46" s="3">
        <f>IF(F46="","","Técnica "&amp;IF(G46="",F46,G46)&amp;" do Imortal")</f>
        <v/>
      </c>
    </row>
    <row r="47">
      <c r="A47" t="n">
        <v>246</v>
      </c>
      <c r="B47" t="inlineStr">
        <is>
          <t>煞</t>
        </is>
      </c>
      <c r="C47" t="inlineStr">
        <is>
          <t>funesto</t>
        </is>
      </c>
      <c r="D47" t="inlineStr">
        <is>
          <t>Menacing</t>
        </is>
      </c>
      <c r="F47" s="2" t="inlineStr">
        <is>
          <t>Funesto</t>
        </is>
      </c>
      <c r="G47" s="2" t="inlineStr">
        <is>
          <t>Funesta</t>
        </is>
      </c>
      <c r="H47" s="3">
        <f>IF(F47="","","Manual Secreto "&amp;F47&amp;" do Imortal")</f>
        <v/>
      </c>
      <c r="I47" s="3">
        <f>IF(F47="","","Técnica "&amp;IF(G47="",F47,G47)&amp;" do Imortal")</f>
        <v/>
      </c>
    </row>
    <row r="48">
      <c r="A48" t="n">
        <v>247</v>
      </c>
      <c r="B48" t="inlineStr">
        <is>
          <t>岩</t>
        </is>
      </c>
      <c r="C48" t="inlineStr">
        <is>
          <t>rocha</t>
        </is>
      </c>
      <c r="D48" t="inlineStr">
        <is>
          <t>Stony</t>
        </is>
      </c>
      <c r="F48" s="2" t="inlineStr">
        <is>
          <t>Rochoso</t>
        </is>
      </c>
      <c r="G48" s="2" t="inlineStr">
        <is>
          <t>Rochosa</t>
        </is>
      </c>
      <c r="H48" s="3">
        <f>IF(F48="","","Manual Secreto "&amp;F48&amp;" do Imortal")</f>
        <v/>
      </c>
      <c r="I48" s="3">
        <f>IF(F48="","","Técnica "&amp;IF(G48="",F48,G48)&amp;" do Imortal")</f>
        <v/>
      </c>
    </row>
    <row r="49">
      <c r="A49" t="n">
        <v>248</v>
      </c>
      <c r="B49" t="inlineStr">
        <is>
          <t>道</t>
        </is>
      </c>
      <c r="C49" t="inlineStr">
        <is>
          <t>Dao, caminho</t>
        </is>
      </c>
      <c r="D49" t="inlineStr">
        <is>
          <t>Truthful</t>
        </is>
      </c>
      <c r="F49" s="2" t="inlineStr">
        <is>
          <t>Sagrado</t>
        </is>
      </c>
      <c r="G49" s="2" t="inlineStr">
        <is>
          <t>Sagrada</t>
        </is>
      </c>
      <c r="H49" s="3">
        <f>IF(F49="","","Manual Secreto "&amp;F49&amp;" do Imortal")</f>
        <v/>
      </c>
      <c r="I49" s="3">
        <f>IF(F49="","","Técnica "&amp;IF(G49="",F49,G49)&amp;" do Imortal")</f>
        <v/>
      </c>
    </row>
    <row r="50">
      <c r="A50" t="n">
        <v>249</v>
      </c>
      <c r="B50" t="inlineStr">
        <is>
          <t>虎</t>
        </is>
      </c>
      <c r="C50" t="inlineStr">
        <is>
          <t>tigre</t>
        </is>
      </c>
      <c r="D50" t="inlineStr">
        <is>
          <t>Tigris</t>
        </is>
      </c>
      <c r="F50" s="2" t="inlineStr">
        <is>
          <t>Tigrino</t>
        </is>
      </c>
      <c r="G50" s="2" t="inlineStr">
        <is>
          <t>Tigrina</t>
        </is>
      </c>
      <c r="H50" s="3">
        <f>IF(F50="","","Manual Secreto "&amp;F50&amp;" do Imortal")</f>
        <v/>
      </c>
      <c r="I50" s="3">
        <f>IF(F50="","","Técnica "&amp;IF(G50="",F50,G50)&amp;" do Imortal")</f>
        <v/>
      </c>
    </row>
    <row r="51">
      <c r="A51" t="n">
        <v>250</v>
      </c>
      <c r="B51" t="inlineStr">
        <is>
          <t>岳</t>
        </is>
      </c>
      <c r="C51" t="inlineStr">
        <is>
          <t>pico, monte sagrado</t>
        </is>
      </c>
      <c r="D51" t="inlineStr">
        <is>
          <t>High</t>
        </is>
      </c>
      <c r="F51" s="2" t="inlineStr">
        <is>
          <t>Altaneiro</t>
        </is>
      </c>
      <c r="G51" s="2" t="inlineStr">
        <is>
          <t>Altaneira</t>
        </is>
      </c>
      <c r="H51" s="3">
        <f>IF(F51="","","Manual Secreto "&amp;F51&amp;" do Imortal")</f>
        <v/>
      </c>
      <c r="I51" s="3">
        <f>IF(F51="","","Técnica "&amp;IF(G51="",F51,G51)&amp;" do Imortal")</f>
        <v/>
      </c>
    </row>
    <row r="52">
      <c r="A52" t="n">
        <v>251</v>
      </c>
      <c r="B52" t="inlineStr">
        <is>
          <t>魄</t>
        </is>
      </c>
      <c r="C52" t="inlineStr">
        <is>
          <t>alma corpórea (po), vigor</t>
        </is>
      </c>
      <c r="D52" t="inlineStr">
        <is>
          <t>Hearty</t>
        </is>
      </c>
      <c r="F52" s="2" t="inlineStr">
        <is>
          <t>Vigoroso</t>
        </is>
      </c>
      <c r="G52" s="2" t="inlineStr">
        <is>
          <t>Vigorosa</t>
        </is>
      </c>
      <c r="H52" s="3">
        <f>IF(F52="","","Manual Secreto "&amp;F52&amp;" do Imortal")</f>
        <v/>
      </c>
      <c r="I52" s="3">
        <f>IF(F52="","","Técnica "&amp;IF(G52="",F52,G52)&amp;" do Imortal")</f>
        <v/>
      </c>
    </row>
    <row r="53">
      <c r="A53" t="n">
        <v>252</v>
      </c>
      <c r="B53" t="inlineStr">
        <is>
          <t>瘴</t>
        </is>
      </c>
      <c r="C53" t="inlineStr">
        <is>
          <t>miasma</t>
        </is>
      </c>
      <c r="D53" t="inlineStr">
        <is>
          <t>Miasmic</t>
        </is>
      </c>
      <c r="F53" s="2" t="inlineStr">
        <is>
          <t>Miasmático</t>
        </is>
      </c>
      <c r="G53" s="2" t="inlineStr">
        <is>
          <t>Miasmática</t>
        </is>
      </c>
      <c r="H53" s="3">
        <f>IF(F53="","","Manual Secreto "&amp;F53&amp;" do Imortal")</f>
        <v/>
      </c>
      <c r="I53" s="3">
        <f>IF(F53="","","Técnica "&amp;IF(G53="",F53,G53)&amp;" do Imortal")</f>
        <v/>
      </c>
    </row>
    <row r="54">
      <c r="A54" t="n">
        <v>253</v>
      </c>
      <c r="B54" t="inlineStr">
        <is>
          <t>衡</t>
        </is>
      </c>
      <c r="C54" t="inlineStr">
        <is>
          <t>equilíbrio</t>
        </is>
      </c>
      <c r="D54" t="inlineStr">
        <is>
          <t>Balanced</t>
        </is>
      </c>
      <c r="F54" s="2" t="inlineStr">
        <is>
          <t>Equilibrado</t>
        </is>
      </c>
      <c r="G54" s="2" t="inlineStr">
        <is>
          <t>Equilibrada</t>
        </is>
      </c>
      <c r="H54" s="3">
        <f>IF(F54="","","Manual Secreto "&amp;F54&amp;" do Imortal")</f>
        <v/>
      </c>
      <c r="I54" s="3">
        <f>IF(F54="","","Técnica "&amp;IF(G54="",F54,G54)&amp;" do Imortal")</f>
        <v/>
      </c>
    </row>
    <row r="55">
      <c r="A55" t="n">
        <v>254</v>
      </c>
      <c r="B55" t="inlineStr">
        <is>
          <t>隐</t>
        </is>
      </c>
      <c r="C55" t="inlineStr">
        <is>
          <t>oculto</t>
        </is>
      </c>
      <c r="D55" t="inlineStr">
        <is>
          <t>Veiled</t>
        </is>
      </c>
      <c r="F55" s="2" t="inlineStr">
        <is>
          <t>Oculto</t>
        </is>
      </c>
      <c r="G55" s="2" t="inlineStr">
        <is>
          <t>Oculta</t>
        </is>
      </c>
      <c r="H55" s="3">
        <f>IF(F55="","","Manual Secreto "&amp;F55&amp;" do Imortal")</f>
        <v/>
      </c>
      <c r="I55" s="3">
        <f>IF(F55="","","Técnica "&amp;IF(G55="",F55,G55)&amp;" do Imortal")</f>
        <v/>
      </c>
    </row>
    <row r="56">
      <c r="A56" t="n">
        <v>255</v>
      </c>
      <c r="B56" t="inlineStr">
        <is>
          <t>劫</t>
        </is>
      </c>
      <c r="C56" t="inlineStr">
        <is>
          <t>tribulação</t>
        </is>
      </c>
      <c r="D56" t="inlineStr">
        <is>
          <t>Trying</t>
        </is>
      </c>
      <c r="F56" s="2" t="inlineStr">
        <is>
          <t>Calamitoso</t>
        </is>
      </c>
      <c r="G56" s="2" t="inlineStr">
        <is>
          <t>Calamitosa</t>
        </is>
      </c>
      <c r="H56" s="3">
        <f>IF(F56="","","Manual Secreto "&amp;F56&amp;" do Imortal")</f>
        <v/>
      </c>
      <c r="I56" s="3">
        <f>IF(F56="","","Técnica "&amp;IF(G56="",F56,G56)&amp;" do Imortal")</f>
        <v/>
      </c>
    </row>
    <row r="57">
      <c r="A57" t="n">
        <v>256</v>
      </c>
      <c r="B57" t="inlineStr">
        <is>
          <t>形</t>
        </is>
      </c>
      <c r="C57" t="inlineStr">
        <is>
          <t>forma</t>
        </is>
      </c>
      <c r="D57" t="inlineStr">
        <is>
          <t>Forming</t>
        </is>
      </c>
      <c r="F57" s="2" t="inlineStr">
        <is>
          <t>Físico</t>
        </is>
      </c>
      <c r="G57" s="2" t="inlineStr">
        <is>
          <t>Física</t>
        </is>
      </c>
      <c r="H57" s="3">
        <f>IF(F57="","","Manual Secreto "&amp;F57&amp;" do Imortal")</f>
        <v/>
      </c>
      <c r="I57" s="3">
        <f>IF(F57="","","Técnica "&amp;IF(G57="",F57,G57)&amp;" do Imortal")</f>
        <v/>
      </c>
    </row>
    <row r="58">
      <c r="A58" t="n">
        <v>257</v>
      </c>
      <c r="B58" t="inlineStr">
        <is>
          <t>溟</t>
        </is>
      </c>
      <c r="C58" t="inlineStr">
        <is>
          <t>mar escuro e profundo</t>
        </is>
      </c>
      <c r="D58" t="inlineStr">
        <is>
          <t>Deep</t>
        </is>
      </c>
      <c r="F58" s="2" t="inlineStr">
        <is>
          <t>Profundo</t>
        </is>
      </c>
      <c r="G58" s="2" t="inlineStr">
        <is>
          <t>Profunda</t>
        </is>
      </c>
      <c r="H58" s="3">
        <f>IF(F58="","","Manual Secreto "&amp;F58&amp;" do Imortal")</f>
        <v/>
      </c>
      <c r="I58" s="3">
        <f>IF(F58="","","Técnica "&amp;IF(G58="",F58,G58)&amp;" do Imortal")</f>
        <v/>
      </c>
    </row>
    <row r="59">
      <c r="A59" t="n">
        <v>258</v>
      </c>
      <c r="B59" t="inlineStr">
        <is>
          <t>圣</t>
        </is>
      </c>
      <c r="C59" t="inlineStr">
        <is>
          <t>santo, sagrado</t>
        </is>
      </c>
      <c r="D59" t="inlineStr">
        <is>
          <t>Divine</t>
        </is>
      </c>
      <c r="F59" s="2" t="inlineStr">
        <is>
          <t>Santo</t>
        </is>
      </c>
      <c r="G59" s="2" t="inlineStr">
        <is>
          <t>Santa</t>
        </is>
      </c>
      <c r="H59" s="3">
        <f>IF(F59="","","Manual Secreto "&amp;F59&amp;" do Imortal")</f>
        <v/>
      </c>
      <c r="I59" s="3">
        <f>IF(F59="","","Técnica "&amp;IF(G59="",F59,G59)&amp;" do Imortal")</f>
        <v/>
      </c>
    </row>
    <row r="60">
      <c r="A60" t="n">
        <v>259</v>
      </c>
      <c r="B60" t="inlineStr">
        <is>
          <t>鬼</t>
        </is>
      </c>
      <c r="C60" t="inlineStr">
        <is>
          <t>fantasma</t>
        </is>
      </c>
      <c r="D60" t="inlineStr">
        <is>
          <t>Ghostly</t>
        </is>
      </c>
      <c r="F60" s="2" t="inlineStr">
        <is>
          <t>Espectral</t>
        </is>
      </c>
      <c r="G60" s="2" t="n"/>
      <c r="H60" s="3">
        <f>IF(F60="","","Manual Secreto "&amp;F60&amp;" do Imortal")</f>
        <v/>
      </c>
      <c r="I60" s="3">
        <f>IF(F60="","","Técnica "&amp;IF(G60="",F60,G60)&amp;" do Imortal")</f>
        <v/>
      </c>
    </row>
    <row r="61">
      <c r="A61" t="n">
        <v>260</v>
      </c>
      <c r="B61" t="inlineStr">
        <is>
          <t>璃</t>
        </is>
      </c>
      <c r="C61" t="inlineStr">
        <is>
          <t>vidro, cristal</t>
        </is>
      </c>
      <c r="D61" t="inlineStr">
        <is>
          <t>Shiny</t>
        </is>
      </c>
      <c r="F61" s="2" t="inlineStr">
        <is>
          <t>Cristalino</t>
        </is>
      </c>
      <c r="G61" s="2" t="inlineStr">
        <is>
          <t>Cristalina</t>
        </is>
      </c>
      <c r="H61" s="3">
        <f>IF(F61="","","Manual Secreto "&amp;F61&amp;" do Imortal")</f>
        <v/>
      </c>
      <c r="I61" s="3">
        <f>IF(F61="","","Técnica "&amp;IF(G61="",F61,G61)&amp;" do Imortal")</f>
        <v/>
      </c>
    </row>
    <row r="62">
      <c r="A62" t="n">
        <v>261</v>
      </c>
      <c r="B62" t="inlineStr">
        <is>
          <t>霄</t>
        </is>
      </c>
      <c r="C62" t="inlineStr">
        <is>
          <t>firmamento</t>
        </is>
      </c>
      <c r="D62" t="inlineStr">
        <is>
          <t>Lofty</t>
        </is>
      </c>
      <c r="F62" s="2" t="inlineStr">
        <is>
          <t>Empíreo</t>
        </is>
      </c>
      <c r="G62" s="2" t="inlineStr">
        <is>
          <t>Empírea</t>
        </is>
      </c>
      <c r="H62" s="3">
        <f>IF(F62="","","Manual Secreto "&amp;F62&amp;" do Imortal")</f>
        <v/>
      </c>
      <c r="I62" s="3">
        <f>IF(F62="","","Técnica "&amp;IF(G62="",F62,G62)&amp;" do Imortal")</f>
        <v/>
      </c>
    </row>
    <row r="63">
      <c r="A63" t="n">
        <v>262</v>
      </c>
      <c r="B63" t="inlineStr">
        <is>
          <t>脉</t>
        </is>
      </c>
      <c r="C63" t="inlineStr">
        <is>
          <t>meridiano, veia</t>
        </is>
      </c>
      <c r="D63" t="inlineStr">
        <is>
          <t>Pulsing</t>
        </is>
      </c>
      <c r="F63" s="2" t="inlineStr">
        <is>
          <t>Pulsante</t>
        </is>
      </c>
      <c r="G63" s="2" t="n"/>
      <c r="H63" s="3">
        <f>IF(F63="","","Manual Secreto "&amp;F63&amp;" do Imortal")</f>
        <v/>
      </c>
      <c r="I63" s="3">
        <f>IF(F63="","","Técnica "&amp;IF(G63="",F63,G63)&amp;" do Imortal")</f>
        <v/>
      </c>
    </row>
    <row r="64">
      <c r="A64" t="n">
        <v>263</v>
      </c>
      <c r="B64" t="inlineStr">
        <is>
          <t>舞</t>
        </is>
      </c>
      <c r="C64" t="inlineStr">
        <is>
          <t>dança</t>
        </is>
      </c>
      <c r="D64" t="inlineStr">
        <is>
          <t>Dancing</t>
        </is>
      </c>
      <c r="F64" s="2" t="inlineStr">
        <is>
          <t>Dançante</t>
        </is>
      </c>
      <c r="G64" s="2" t="n"/>
      <c r="H64" s="3">
        <f>IF(F64="","","Manual Secreto "&amp;F64&amp;" do Imortal")</f>
        <v/>
      </c>
      <c r="I64" s="3">
        <f>IF(F64="","","Técnica "&amp;IF(G64="",F64,G64)&amp;" do Imortal")</f>
        <v/>
      </c>
    </row>
    <row r="65">
      <c r="A65" t="n">
        <v>264</v>
      </c>
      <c r="B65" t="inlineStr">
        <is>
          <t>曜</t>
        </is>
      </c>
      <c r="C65" t="inlineStr">
        <is>
          <t>astro brilhante</t>
        </is>
      </c>
      <c r="D65" t="inlineStr">
        <is>
          <t>Gleaming</t>
        </is>
      </c>
      <c r="F65" s="2" t="inlineStr">
        <is>
          <t>Cintilante</t>
        </is>
      </c>
      <c r="G65" s="2" t="n"/>
      <c r="H65" s="3">
        <f>IF(F65="","","Manual Secreto "&amp;F65&amp;" do Imortal")</f>
        <v/>
      </c>
      <c r="I65" s="3">
        <f>IF(F65="","","Técnica "&amp;IF(G65="",F65,G65)&amp;" do Imortal")</f>
        <v/>
      </c>
    </row>
    <row r="66">
      <c r="A66" t="n">
        <v>265</v>
      </c>
      <c r="B66" t="inlineStr">
        <is>
          <t>落</t>
        </is>
      </c>
      <c r="C66" t="inlineStr">
        <is>
          <t>queda</t>
        </is>
      </c>
      <c r="D66" t="inlineStr">
        <is>
          <t>Diving</t>
        </is>
      </c>
      <c r="F66" s="2" t="inlineStr">
        <is>
          <t>Cadente</t>
        </is>
      </c>
      <c r="G66" s="2" t="n"/>
      <c r="H66" s="3">
        <f>IF(F66="","","Manual Secreto "&amp;F66&amp;" do Imortal")</f>
        <v/>
      </c>
      <c r="I66" s="3">
        <f>IF(F66="","","Técnica "&amp;IF(G66="",F66,G66)&amp;" do Imortal")</f>
        <v/>
      </c>
    </row>
    <row r="67">
      <c r="A67" t="n">
        <v>266</v>
      </c>
      <c r="B67" t="inlineStr">
        <is>
          <t>飘</t>
        </is>
      </c>
      <c r="C67" t="inlineStr">
        <is>
          <t>flutuar</t>
        </is>
      </c>
      <c r="D67" t="inlineStr">
        <is>
          <t>Drifting</t>
        </is>
      </c>
      <c r="F67" s="2" t="inlineStr">
        <is>
          <t>Flutuante</t>
        </is>
      </c>
      <c r="G67" s="2" t="n"/>
      <c r="H67" s="3">
        <f>IF(F67="","","Manual Secreto "&amp;F67&amp;" do Imortal")</f>
        <v/>
      </c>
      <c r="I67" s="3">
        <f>IF(F67="","","Técnica "&amp;IF(G67="",F67,G67)&amp;" do Imortal")</f>
        <v/>
      </c>
    </row>
    <row r="68">
      <c r="A68" t="n">
        <v>267</v>
      </c>
      <c r="B68" t="inlineStr">
        <is>
          <t>凝</t>
        </is>
      </c>
      <c r="C68" t="inlineStr">
        <is>
          <t>condensar</t>
        </is>
      </c>
      <c r="D68" t="inlineStr">
        <is>
          <t>Focusing</t>
        </is>
      </c>
      <c r="F68" s="2" t="inlineStr">
        <is>
          <t>Condensado</t>
        </is>
      </c>
      <c r="G68" s="2" t="inlineStr">
        <is>
          <t>Condensada</t>
        </is>
      </c>
      <c r="H68" s="3">
        <f>IF(F68="","","Manual Secreto "&amp;F68&amp;" do Imortal")</f>
        <v/>
      </c>
      <c r="I68" s="3">
        <f>IF(F68="","","Técnica "&amp;IF(G68="",F68,G68)&amp;" do Imortal")</f>
        <v/>
      </c>
    </row>
    <row r="69">
      <c r="A69" t="n">
        <v>268</v>
      </c>
      <c r="B69" t="inlineStr">
        <is>
          <t>清</t>
        </is>
      </c>
      <c r="C69" t="inlineStr">
        <is>
          <t>puro</t>
        </is>
      </c>
      <c r="D69" t="inlineStr">
        <is>
          <t>Pure</t>
        </is>
      </c>
      <c r="F69" s="2" t="inlineStr">
        <is>
          <t>Límpido</t>
        </is>
      </c>
      <c r="G69" s="2" t="inlineStr">
        <is>
          <t>Límpida</t>
        </is>
      </c>
      <c r="H69" s="3">
        <f>IF(F69="","","Manual Secreto "&amp;F69&amp;" do Imortal")</f>
        <v/>
      </c>
      <c r="I69" s="3">
        <f>IF(F69="","","Técnica "&amp;IF(G69="",F69,G69)&amp;" do Imortal")</f>
        <v/>
      </c>
    </row>
    <row r="70">
      <c r="A70" t="n">
        <v>269</v>
      </c>
      <c r="B70" t="inlineStr">
        <is>
          <t>灭</t>
        </is>
      </c>
      <c r="C70" t="inlineStr">
        <is>
          <t>aniquilar</t>
        </is>
      </c>
      <c r="D70" t="inlineStr">
        <is>
          <t>Deathly</t>
        </is>
      </c>
      <c r="F70" s="2" t="inlineStr">
        <is>
          <t>Aniquilador</t>
        </is>
      </c>
      <c r="G70" s="2" t="inlineStr">
        <is>
          <t>Aniquiladora</t>
        </is>
      </c>
      <c r="H70" s="3">
        <f>IF(F70="","","Manual Secreto "&amp;F70&amp;" do Imortal")</f>
        <v/>
      </c>
      <c r="I70" s="3">
        <f>IF(F70="","","Técnica "&amp;IF(G70="",F70,G70)&amp;" do Imortal")</f>
        <v/>
      </c>
    </row>
    <row r="71">
      <c r="A71" t="n">
        <v>270</v>
      </c>
      <c r="B71" t="inlineStr">
        <is>
          <t>渡</t>
        </is>
      </c>
      <c r="C71" t="inlineStr">
        <is>
          <t>travessia</t>
        </is>
      </c>
      <c r="D71" t="inlineStr">
        <is>
          <t>Gliding</t>
        </is>
      </c>
      <c r="F71" s="2" t="inlineStr">
        <is>
          <t>Transiente</t>
        </is>
      </c>
      <c r="G71" s="2" t="n"/>
      <c r="H71" s="3">
        <f>IF(F71="","","Manual Secreto "&amp;F71&amp;" do Imortal")</f>
        <v/>
      </c>
      <c r="I71" s="3">
        <f>IF(F71="","","Técnica "&amp;IF(G71="",F71,G71)&amp;" do Imortal")</f>
        <v/>
      </c>
    </row>
    <row r="72">
      <c r="A72" t="n">
        <v>271</v>
      </c>
      <c r="B72" t="inlineStr">
        <is>
          <t>啸</t>
        </is>
      </c>
      <c r="C72" t="inlineStr">
        <is>
          <t>rugido, uivo</t>
        </is>
      </c>
      <c r="D72" t="inlineStr">
        <is>
          <t>Roaring</t>
        </is>
      </c>
      <c r="F72" s="2" t="inlineStr">
        <is>
          <t>Ruidoso</t>
        </is>
      </c>
      <c r="G72" s="2" t="inlineStr">
        <is>
          <t>Ruidosa</t>
        </is>
      </c>
      <c r="H72" s="3">
        <f>IF(F72="","","Manual Secreto "&amp;F72&amp;" do Imortal")</f>
        <v/>
      </c>
      <c r="I72" s="3">
        <f>IF(F72="","","Técnica "&amp;IF(G72="",F72,G72)&amp;" do Imortal")</f>
        <v/>
      </c>
    </row>
    <row r="73">
      <c r="A73" t="n">
        <v>272</v>
      </c>
      <c r="B73" t="inlineStr">
        <is>
          <t>凛</t>
        </is>
      </c>
      <c r="C73" t="inlineStr">
        <is>
          <t>gélido</t>
        </is>
      </c>
      <c r="D73" t="inlineStr">
        <is>
          <t>Chilling</t>
        </is>
      </c>
      <c r="F73" s="2" t="inlineStr">
        <is>
          <t>Algente</t>
        </is>
      </c>
      <c r="G73" s="2" t="n"/>
      <c r="H73" s="3">
        <f>IF(F73="","","Manual Secreto "&amp;F73&amp;" do Imortal")</f>
        <v/>
      </c>
      <c r="I73" s="3">
        <f>IF(F73="","","Técnica "&amp;IF(G73="",F73,G73)&amp;" do Imortal")</f>
        <v/>
      </c>
    </row>
    <row r="74">
      <c r="A74" t="n">
        <v>273</v>
      </c>
      <c r="B74" t="inlineStr">
        <is>
          <t>瑕</t>
        </is>
      </c>
      <c r="C74" t="inlineStr">
        <is>
          <t>mácula, defeito</t>
        </is>
      </c>
      <c r="D74" t="inlineStr">
        <is>
          <t>Flawed</t>
        </is>
      </c>
      <c r="F74" s="2" t="inlineStr">
        <is>
          <t>Maculado</t>
        </is>
      </c>
      <c r="G74" s="2" t="inlineStr">
        <is>
          <t>Maculada</t>
        </is>
      </c>
      <c r="H74" s="3">
        <f>IF(F74="","","Manual Secreto "&amp;F74&amp;" do Imortal")</f>
        <v/>
      </c>
      <c r="I74" s="3">
        <f>IF(F74="","","Técnica "&amp;IF(G74="",F74,G74)&amp;" do Imortal")</f>
        <v/>
      </c>
    </row>
    <row r="75">
      <c r="A75" t="n">
        <v>274</v>
      </c>
      <c r="B75" t="inlineStr">
        <is>
          <t>虹</t>
        </is>
      </c>
      <c r="C75" t="inlineStr">
        <is>
          <t>arco-íris</t>
        </is>
      </c>
      <c r="D75" t="inlineStr">
        <is>
          <t>Prismic</t>
        </is>
      </c>
      <c r="F75" s="2" t="inlineStr">
        <is>
          <t>Iridescente</t>
        </is>
      </c>
      <c r="G75" s="2" t="n"/>
      <c r="H75" s="3">
        <f>IF(F75="","","Manual Secreto "&amp;F75&amp;" do Imortal")</f>
        <v/>
      </c>
      <c r="I75" s="3">
        <f>IF(F75="","","Técnica "&amp;IF(G75="",F75,G75)&amp;" do Imortal")</f>
        <v/>
      </c>
    </row>
    <row r="76">
      <c r="A76" t="n">
        <v>275</v>
      </c>
      <c r="B76" t="inlineStr">
        <is>
          <t>念</t>
        </is>
      </c>
      <c r="C76" t="inlineStr">
        <is>
          <t>pensamento</t>
        </is>
      </c>
      <c r="D76" t="inlineStr">
        <is>
          <t>Thinking</t>
        </is>
      </c>
      <c r="F76" s="2" t="inlineStr">
        <is>
          <t>Pensativo</t>
        </is>
      </c>
      <c r="G76" s="2" t="inlineStr">
        <is>
          <t>Pensativa</t>
        </is>
      </c>
      <c r="H76" s="3">
        <f>IF(F76="","","Manual Secreto "&amp;F76&amp;" do Imortal")</f>
        <v/>
      </c>
      <c r="I76" s="3">
        <f>IF(F76="","","Técnica "&amp;IF(G76="",F76,G76)&amp;" do Imortal")</f>
        <v/>
      </c>
    </row>
    <row r="77">
      <c r="A77" t="n">
        <v>276</v>
      </c>
      <c r="B77" t="inlineStr">
        <is>
          <t>沧</t>
        </is>
      </c>
      <c r="C77" t="inlineStr">
        <is>
          <t>mar vasto</t>
        </is>
      </c>
      <c r="D77" t="inlineStr">
        <is>
          <t>Blue</t>
        </is>
      </c>
      <c r="F77" s="2" t="inlineStr">
        <is>
          <t>Vasto</t>
        </is>
      </c>
      <c r="G77" s="2" t="inlineStr">
        <is>
          <t>Vasta</t>
        </is>
      </c>
      <c r="H77" s="3">
        <f>IF(F77="","","Manual Secreto "&amp;F77&amp;" do Imortal")</f>
        <v/>
      </c>
      <c r="I77" s="3">
        <f>IF(F77="","","Técnica "&amp;IF(G77="",F77,G77)&amp;" do Imortal")</f>
        <v/>
      </c>
    </row>
    <row r="78">
      <c r="A78" t="n">
        <v>277</v>
      </c>
      <c r="B78" t="inlineStr">
        <is>
          <t>岚</t>
        </is>
      </c>
      <c r="C78" t="inlineStr">
        <is>
          <t>névoa da montanha</t>
        </is>
      </c>
      <c r="D78" t="inlineStr">
        <is>
          <t>Stormy</t>
        </is>
      </c>
      <c r="F78" s="2" t="inlineStr">
        <is>
          <t>Nevoento</t>
        </is>
      </c>
      <c r="G78" s="2" t="inlineStr">
        <is>
          <t>Nevoenta</t>
        </is>
      </c>
      <c r="H78" s="3">
        <f>IF(F78="","","Manual Secreto "&amp;F78&amp;" do Imortal")</f>
        <v/>
      </c>
      <c r="I78" s="3">
        <f>IF(F78="","","Técnica "&amp;IF(G78="",F78,G78)&amp;" do Imortal")</f>
        <v/>
      </c>
    </row>
    <row r="79">
      <c r="A79" t="n">
        <v>278</v>
      </c>
      <c r="B79" t="inlineStr">
        <is>
          <t>破</t>
        </is>
      </c>
      <c r="C79" t="inlineStr">
        <is>
          <t>quebrar</t>
        </is>
      </c>
      <c r="D79" t="inlineStr">
        <is>
          <t>Ruinous</t>
        </is>
      </c>
      <c r="F79" s="2" t="inlineStr">
        <is>
          <t>Quebrado</t>
        </is>
      </c>
      <c r="G79" s="2" t="inlineStr">
        <is>
          <t>Quebrada</t>
        </is>
      </c>
      <c r="H79" s="3">
        <f>IF(F79="","","Manual Secreto "&amp;F79&amp;" do Imortal")</f>
        <v/>
      </c>
      <c r="I79" s="3">
        <f>IF(F79="","","Técnica "&amp;IF(G79="",F79,G79)&amp;" do Imortal")</f>
        <v/>
      </c>
    </row>
    <row r="80">
      <c r="A80" t="n">
        <v>279</v>
      </c>
      <c r="B80" t="inlineStr">
        <is>
          <t>碎</t>
        </is>
      </c>
      <c r="C80" t="inlineStr">
        <is>
          <t>despedaçar</t>
        </is>
      </c>
      <c r="D80" t="inlineStr">
        <is>
          <t>Breaking</t>
        </is>
      </c>
      <c r="F80" s="2" t="inlineStr">
        <is>
          <t>Despedaçado</t>
        </is>
      </c>
      <c r="G80" s="2" t="inlineStr">
        <is>
          <t>Despedaçada</t>
        </is>
      </c>
      <c r="H80" s="3">
        <f>IF(F80="","","Manual Secreto "&amp;F80&amp;" do Imortal")</f>
        <v/>
      </c>
      <c r="I80" s="3">
        <f>IF(F80="","","Técnica "&amp;IF(G80="",F80,G80)&amp;" do Imortal")</f>
        <v/>
      </c>
    </row>
    <row r="81">
      <c r="A81" t="n">
        <v>280</v>
      </c>
      <c r="B81" t="inlineStr">
        <is>
          <t>化</t>
        </is>
      </c>
      <c r="C81" t="inlineStr">
        <is>
          <t>transformar</t>
        </is>
      </c>
      <c r="D81" t="inlineStr">
        <is>
          <t>Becoming</t>
        </is>
      </c>
      <c r="F81" s="2" t="inlineStr">
        <is>
          <t>Mutável</t>
        </is>
      </c>
      <c r="G81" s="2" t="n"/>
      <c r="H81" s="3">
        <f>IF(F81="","","Manual Secreto "&amp;F81&amp;" do Imortal")</f>
        <v/>
      </c>
      <c r="I81" s="3">
        <f>IF(F81="","","Técnica "&amp;IF(G81="",F81,G81)&amp;" do Imortal")</f>
        <v/>
      </c>
    </row>
    <row r="82">
      <c r="A82" t="n">
        <v>281</v>
      </c>
      <c r="B82" t="inlineStr">
        <is>
          <t>雾</t>
        </is>
      </c>
      <c r="C82" t="inlineStr">
        <is>
          <t>névoa</t>
        </is>
      </c>
      <c r="D82" t="inlineStr">
        <is>
          <t>Misty</t>
        </is>
      </c>
      <c r="F82" s="2" t="inlineStr">
        <is>
          <t>Enevoado</t>
        </is>
      </c>
      <c r="G82" s="2" t="inlineStr">
        <is>
          <t>Enevoada</t>
        </is>
      </c>
      <c r="H82" s="3">
        <f>IF(F82="","","Manual Secreto "&amp;F82&amp;" do Imortal")</f>
        <v/>
      </c>
      <c r="I82" s="3">
        <f>IF(F82="","","Técnica "&amp;IF(G82="",F82,G82)&amp;" do Imortal")</f>
        <v/>
      </c>
    </row>
    <row r="83">
      <c r="A83" t="n">
        <v>282</v>
      </c>
      <c r="B83" t="inlineStr">
        <is>
          <t>吟</t>
        </is>
      </c>
      <c r="C83" t="inlineStr">
        <is>
          <t>cantar, recitar</t>
        </is>
      </c>
      <c r="D83" t="inlineStr">
        <is>
          <t>Singing</t>
        </is>
      </c>
      <c r="F83" s="2" t="inlineStr">
        <is>
          <t>Cantante</t>
        </is>
      </c>
      <c r="G83" s="2" t="n"/>
      <c r="H83" s="3">
        <f>IF(F83="","","Manual Secreto "&amp;F83&amp;" do Imortal")</f>
        <v/>
      </c>
      <c r="I83" s="3">
        <f>IF(F83="","","Técnica "&amp;IF(G83="",F83,G83)&amp;" do Imortal")</f>
        <v/>
      </c>
    </row>
    <row r="84">
      <c r="A84" t="n">
        <v>283</v>
      </c>
      <c r="B84" t="inlineStr">
        <is>
          <t>荒</t>
        </is>
      </c>
      <c r="C84" t="inlineStr">
        <is>
          <t>ermo</t>
        </is>
      </c>
      <c r="D84" t="inlineStr">
        <is>
          <t>Decaying</t>
        </is>
      </c>
      <c r="F84" s="2" t="inlineStr">
        <is>
          <t>Ermo</t>
        </is>
      </c>
      <c r="G84" s="2" t="inlineStr">
        <is>
          <t>Erma</t>
        </is>
      </c>
      <c r="H84" s="3">
        <f>IF(F84="","","Manual Secreto "&amp;F84&amp;" do Imortal")</f>
        <v/>
      </c>
      <c r="I84" s="3">
        <f>IF(F84="","","Técnica "&amp;IF(G84="",F84,G84)&amp;" do Imortal")</f>
        <v/>
      </c>
    </row>
    <row r="85">
      <c r="A85" t="n">
        <v>284</v>
      </c>
      <c r="B85" t="inlineStr">
        <is>
          <t>陨</t>
        </is>
      </c>
      <c r="C85" t="inlineStr">
        <is>
          <t>meteoro, cair</t>
        </is>
      </c>
      <c r="D85" t="inlineStr">
        <is>
          <t>Falling</t>
        </is>
      </c>
      <c r="F85" s="2" t="inlineStr">
        <is>
          <t>Meteórico</t>
        </is>
      </c>
      <c r="G85" s="2" t="inlineStr">
        <is>
          <t>Meteórica</t>
        </is>
      </c>
      <c r="H85" s="3">
        <f>IF(F85="","","Manual Secreto "&amp;F85&amp;" do Imortal")</f>
        <v/>
      </c>
      <c r="I85" s="3">
        <f>IF(F85="","","Técnica "&amp;IF(G85="",F85,G85)&amp;" do Imortal")</f>
        <v/>
      </c>
    </row>
    <row r="86">
      <c r="A86" t="n">
        <v>285</v>
      </c>
      <c r="B86" t="inlineStr">
        <is>
          <t>界</t>
        </is>
      </c>
      <c r="C86" t="inlineStr">
        <is>
          <t>mundo, fronteira</t>
        </is>
      </c>
      <c r="D86" t="inlineStr">
        <is>
          <t>Global</t>
        </is>
      </c>
      <c r="F86" s="2" t="inlineStr">
        <is>
          <t>Mundano</t>
        </is>
      </c>
      <c r="G86" s="2" t="inlineStr">
        <is>
          <t>Mundana</t>
        </is>
      </c>
      <c r="H86" s="3">
        <f>IF(F86="","","Manual Secreto "&amp;F86&amp;" do Imortal")</f>
        <v/>
      </c>
      <c r="I86" s="3">
        <f>IF(F86="","","Técnica "&amp;IF(G86="",F86,G86)&amp;" do Imortal")</f>
        <v/>
      </c>
    </row>
    <row r="87">
      <c r="A87" t="n">
        <v>286</v>
      </c>
      <c r="B87" t="inlineStr">
        <is>
          <t>虚</t>
        </is>
      </c>
      <c r="C87" t="inlineStr">
        <is>
          <t>vazio</t>
        </is>
      </c>
      <c r="D87" t="inlineStr">
        <is>
          <t>Voidborn</t>
        </is>
      </c>
      <c r="F87" s="2" t="inlineStr">
        <is>
          <t>Vacuoso</t>
        </is>
      </c>
      <c r="G87" s="2" t="inlineStr">
        <is>
          <t>Vacuosa</t>
        </is>
      </c>
      <c r="H87" s="3">
        <f>IF(F87="","","Manual Secreto "&amp;F87&amp;" do Imortal")</f>
        <v/>
      </c>
      <c r="I87" s="3">
        <f>IF(F87="","","Técnica "&amp;IF(G87="",F87,G87)&amp;" do Imortal")</f>
        <v/>
      </c>
    </row>
    <row r="88">
      <c r="A88" t="n">
        <v>287</v>
      </c>
      <c r="B88" t="inlineStr">
        <is>
          <t>沙</t>
        </is>
      </c>
      <c r="C88" t="inlineStr">
        <is>
          <t>areia</t>
        </is>
      </c>
      <c r="D88" t="inlineStr">
        <is>
          <t>Sandy</t>
        </is>
      </c>
      <c r="F88" s="2" t="inlineStr">
        <is>
          <t>Arenoso</t>
        </is>
      </c>
      <c r="G88" s="2" t="inlineStr">
        <is>
          <t>Arenosa</t>
        </is>
      </c>
      <c r="H88" s="3">
        <f>IF(F88="","","Manual Secreto "&amp;F88&amp;" do Imortal")</f>
        <v/>
      </c>
      <c r="I88" s="3">
        <f>IF(F88="","","Técnica "&amp;IF(G88="",F88,G88)&amp;" do Imortal")</f>
        <v/>
      </c>
    </row>
    <row r="89">
      <c r="A89" t="n">
        <v>288</v>
      </c>
      <c r="B89" t="inlineStr">
        <is>
          <t>涛</t>
        </is>
      </c>
      <c r="C89" t="inlineStr">
        <is>
          <t>vaga, grande onda</t>
        </is>
      </c>
      <c r="D89" t="inlineStr">
        <is>
          <t>Tidal</t>
        </is>
      </c>
      <c r="F89" s="2" t="inlineStr">
        <is>
          <t>Agitado</t>
        </is>
      </c>
      <c r="G89" s="2" t="inlineStr">
        <is>
          <t>Agitada</t>
        </is>
      </c>
      <c r="H89" s="3">
        <f>IF(F89="","","Manual Secreto "&amp;F89&amp;" do Imortal")</f>
        <v/>
      </c>
      <c r="I89" s="3">
        <f>IF(F89="","","Técnica "&amp;IF(G89="",F89,G89)&amp;" do Imortal")</f>
        <v/>
      </c>
    </row>
    <row r="90">
      <c r="A90" t="n">
        <v>289</v>
      </c>
      <c r="B90" t="inlineStr">
        <is>
          <t>浪</t>
        </is>
      </c>
      <c r="C90" t="inlineStr">
        <is>
          <t>onda</t>
        </is>
      </c>
      <c r="D90" t="inlineStr">
        <is>
          <t>Wavy</t>
        </is>
      </c>
      <c r="F90" s="2" t="inlineStr">
        <is>
          <t>Ondulante</t>
        </is>
      </c>
      <c r="G90" s="2" t="n"/>
      <c r="H90" s="3">
        <f>IF(F90="","","Manual Secreto "&amp;F90&amp;" do Imortal")</f>
        <v/>
      </c>
      <c r="I90" s="3">
        <f>IF(F90="","","Técnica "&amp;IF(G90="",F90,G90)&amp;" do Imortal")</f>
        <v/>
      </c>
    </row>
    <row r="91">
      <c r="A91" t="n">
        <v>290</v>
      </c>
      <c r="B91" t="inlineStr">
        <is>
          <t>波</t>
        </is>
      </c>
      <c r="C91" t="inlineStr">
        <is>
          <t>onda</t>
        </is>
      </c>
      <c r="D91" t="inlineStr">
        <is>
          <t>Moist</t>
        </is>
      </c>
      <c r="E91" t="inlineStr">
        <is>
          <t>o inglês diz 'Moist', o hanzi é 'onda'</t>
        </is>
      </c>
      <c r="F91" s="2" t="inlineStr">
        <is>
          <t>Sinuoso</t>
        </is>
      </c>
      <c r="G91" s="2" t="inlineStr">
        <is>
          <t>Sinuosa</t>
        </is>
      </c>
      <c r="H91" s="3">
        <f>IF(F91="","","Manual Secreto "&amp;F91&amp;" do Imortal")</f>
        <v/>
      </c>
      <c r="I91" s="3">
        <f>IF(F91="","","Técnica "&amp;IF(G91="",F91,G91)&amp;" do Imortal")</f>
        <v/>
      </c>
    </row>
    <row r="92">
      <c r="A92" t="n">
        <v>291</v>
      </c>
      <c r="B92" t="inlineStr">
        <is>
          <t>澜</t>
        </is>
      </c>
      <c r="C92" t="inlineStr">
        <is>
          <t>grande onda</t>
        </is>
      </c>
      <c r="D92" t="inlineStr">
        <is>
          <t>Rippling</t>
        </is>
      </c>
      <c r="F92" s="2" t="inlineStr">
        <is>
          <t>Avassalador</t>
        </is>
      </c>
      <c r="G92" s="2" t="inlineStr">
        <is>
          <t>Avassaladora</t>
        </is>
      </c>
      <c r="H92" s="3">
        <f>IF(F92="","","Manual Secreto "&amp;F92&amp;" do Imortal")</f>
        <v/>
      </c>
      <c r="I92" s="3">
        <f>IF(F92="","","Técnica "&amp;IF(G92="",F92,G92)&amp;" do Imortal")</f>
        <v/>
      </c>
    </row>
    <row r="93">
      <c r="A93" t="n">
        <v>292</v>
      </c>
      <c r="B93" t="inlineStr">
        <is>
          <t>幽</t>
        </is>
      </c>
      <c r="C93" t="inlineStr">
        <is>
          <t>sombrio, recôndito</t>
        </is>
      </c>
      <c r="D93" t="inlineStr">
        <is>
          <t>Gloomy</t>
        </is>
      </c>
      <c r="F93" s="2" t="inlineStr">
        <is>
          <t>Tenebroso</t>
        </is>
      </c>
      <c r="G93" s="2" t="inlineStr">
        <is>
          <t>Tenebrosa</t>
        </is>
      </c>
      <c r="H93" s="3">
        <f>IF(F93="","","Manual Secreto "&amp;F93&amp;" do Imortal")</f>
        <v/>
      </c>
      <c r="I93" s="3">
        <f>IF(F93="","","Técnica "&amp;IF(G93="",F93,G93)&amp;" do Imortal")</f>
        <v/>
      </c>
    </row>
    <row r="94">
      <c r="A94" t="n">
        <v>293</v>
      </c>
      <c r="B94" t="inlineStr">
        <is>
          <t>辰</t>
        </is>
      </c>
      <c r="C94" t="inlineStr">
        <is>
          <t>astro, hora</t>
        </is>
      </c>
      <c r="D94" t="inlineStr">
        <is>
          <t>Dawning</t>
        </is>
      </c>
      <c r="F94" s="2" t="inlineStr">
        <is>
          <t>Astral</t>
        </is>
      </c>
      <c r="G94" s="2" t="n"/>
      <c r="H94" s="3">
        <f>IF(F94="","","Manual Secreto "&amp;F94&amp;" do Imortal")</f>
        <v/>
      </c>
      <c r="I94" s="3">
        <f>IF(F94="","","Técnica "&amp;IF(G94="",F94,G94)&amp;" do Imortal")</f>
        <v/>
      </c>
    </row>
    <row r="95">
      <c r="A95" t="n">
        <v>294</v>
      </c>
      <c r="B95" t="inlineStr">
        <is>
          <t>桥</t>
        </is>
      </c>
      <c r="C95" t="inlineStr">
        <is>
          <t>ponte</t>
        </is>
      </c>
      <c r="D95" t="inlineStr">
        <is>
          <t>Bridged</t>
        </is>
      </c>
      <c r="F95" s="2" t="inlineStr">
        <is>
          <t>Elevado</t>
        </is>
      </c>
      <c r="G95" s="2" t="inlineStr">
        <is>
          <t>Elevada</t>
        </is>
      </c>
      <c r="H95" s="3">
        <f>IF(F95="","","Manual Secreto "&amp;F95&amp;" do Imortal")</f>
        <v/>
      </c>
      <c r="I95" s="3">
        <f>IF(F95="","","Técnica "&amp;IF(G95="",F95,G95)&amp;" do Imortal")</f>
        <v/>
      </c>
    </row>
    <row r="96">
      <c r="A96" t="n">
        <v>295</v>
      </c>
      <c r="B96" t="inlineStr">
        <is>
          <t>谷</t>
        </is>
      </c>
      <c r="C96" t="inlineStr">
        <is>
          <t>vale</t>
        </is>
      </c>
      <c r="D96" t="inlineStr">
        <is>
          <t>Valley</t>
        </is>
      </c>
      <c r="F96" s="2" t="inlineStr">
        <is>
          <t>Cavo</t>
        </is>
      </c>
      <c r="G96" s="2" t="inlineStr">
        <is>
          <t>Cava</t>
        </is>
      </c>
      <c r="H96" s="3">
        <f>IF(F96="","","Manual Secreto "&amp;F96&amp;" do Imortal")</f>
        <v/>
      </c>
      <c r="I96" s="3">
        <f>IF(F96="","","Técnica "&amp;IF(G96="",F96,G96)&amp;" do Imortal")</f>
        <v/>
      </c>
    </row>
    <row r="97">
      <c r="A97" t="n">
        <v>296</v>
      </c>
      <c r="B97" t="inlineStr">
        <is>
          <t>崖</t>
        </is>
      </c>
      <c r="C97" t="inlineStr">
        <is>
          <t>penhasco</t>
        </is>
      </c>
      <c r="D97" t="inlineStr">
        <is>
          <t>Steep</t>
        </is>
      </c>
      <c r="F97" s="2" t="inlineStr">
        <is>
          <t>Abrupto</t>
        </is>
      </c>
      <c r="G97" s="2" t="inlineStr">
        <is>
          <t>Abrupta</t>
        </is>
      </c>
      <c r="H97" s="3">
        <f>IF(F97="","","Manual Secreto "&amp;F97&amp;" do Imortal")</f>
        <v/>
      </c>
      <c r="I97" s="3">
        <f>IF(F97="","","Técnica "&amp;IF(G97="",F97,G97)&amp;" do Imortal")</f>
        <v/>
      </c>
    </row>
    <row r="98">
      <c r="A98" t="n">
        <v>297</v>
      </c>
      <c r="B98" t="inlineStr">
        <is>
          <t>峰</t>
        </is>
      </c>
      <c r="C98" t="inlineStr">
        <is>
          <t>pico</t>
        </is>
      </c>
      <c r="D98" t="inlineStr">
        <is>
          <t>Peaked</t>
        </is>
      </c>
      <c r="F98" s="2" t="inlineStr">
        <is>
          <t>Pontiagudo</t>
        </is>
      </c>
      <c r="G98" s="2" t="inlineStr">
        <is>
          <t>Pontiaguda</t>
        </is>
      </c>
      <c r="H98" s="3">
        <f>IF(F98="","","Manual Secreto "&amp;F98&amp;" do Imortal")</f>
        <v/>
      </c>
      <c r="I98" s="3">
        <f>IF(F98="","","Técnica "&amp;IF(G98="",F98,G98)&amp;" do Imortal")</f>
        <v/>
      </c>
    </row>
    <row r="99">
      <c r="A99" t="n">
        <v>298</v>
      </c>
      <c r="B99" t="inlineStr">
        <is>
          <t>湖</t>
        </is>
      </c>
      <c r="C99" t="inlineStr">
        <is>
          <t>lago</t>
        </is>
      </c>
      <c r="D99" t="inlineStr">
        <is>
          <t>Streaming</t>
        </is>
      </c>
      <c r="E99" t="inlineStr">
        <is>
          <t>o inglês diz 'Streaming', o hanzi é 'lago'</t>
        </is>
      </c>
      <c r="F99" s="2" t="inlineStr">
        <is>
          <t>Lacustre</t>
        </is>
      </c>
      <c r="G99" s="2" t="n"/>
      <c r="H99" s="3">
        <f>IF(F99="","","Manual Secreto "&amp;F99&amp;" do Imortal")</f>
        <v/>
      </c>
      <c r="I99" s="3">
        <f>IF(F99="","","Técnica "&amp;IF(G99="",F99,G99)&amp;" do Imortal")</f>
        <v/>
      </c>
    </row>
    <row r="100">
      <c r="A100" t="n">
        <v>299</v>
      </c>
      <c r="B100" t="inlineStr">
        <is>
          <t>川</t>
        </is>
      </c>
      <c r="C100" t="inlineStr">
        <is>
          <t>rio</t>
        </is>
      </c>
      <c r="D100" t="inlineStr">
        <is>
          <t>Flowing</t>
        </is>
      </c>
      <c r="F100" s="2" t="inlineStr">
        <is>
          <t>Fluvial</t>
        </is>
      </c>
      <c r="G100" s="2" t="n"/>
      <c r="H100" s="3">
        <f>IF(F100="","","Manual Secreto "&amp;F100&amp;" do Imortal")</f>
        <v/>
      </c>
      <c r="I100" s="3">
        <f>IF(F100="","","Técnica "&amp;IF(G100="",F100,G100)&amp;" do Imortal")</f>
        <v/>
      </c>
    </row>
    <row r="101">
      <c r="A101" t="n">
        <v>300</v>
      </c>
      <c r="B101" t="inlineStr">
        <is>
          <t>河</t>
        </is>
      </c>
      <c r="C101" t="inlineStr">
        <is>
          <t>rio</t>
        </is>
      </c>
      <c r="D101" t="inlineStr">
        <is>
          <t>River-run</t>
        </is>
      </c>
      <c r="F101" s="2" t="inlineStr">
        <is>
          <t>Corrente</t>
        </is>
      </c>
      <c r="G101" s="2" t="n"/>
      <c r="H101" s="3">
        <f>IF(F101="","","Manual Secreto "&amp;F101&amp;" do Imortal")</f>
        <v/>
      </c>
      <c r="I101" s="3">
        <f>IF(F101="","","Técnica "&amp;IF(G101="",F101,G101)&amp;" do Imortal")</f>
        <v/>
      </c>
    </row>
    <row r="102">
      <c r="A102" t="n">
        <v>301</v>
      </c>
      <c r="B102" t="inlineStr">
        <is>
          <t>江</t>
        </is>
      </c>
      <c r="C102" t="inlineStr">
        <is>
          <t>rio (Yangtzé)</t>
        </is>
      </c>
      <c r="D102" t="inlineStr">
        <is>
          <t>Engulfing</t>
        </is>
      </c>
      <c r="F102" s="2" t="inlineStr">
        <is>
          <t>Torrencial</t>
        </is>
      </c>
      <c r="G102" s="2" t="n"/>
      <c r="H102" s="3">
        <f>IF(F102="","","Manual Secreto "&amp;F102&amp;" do Imortal")</f>
        <v/>
      </c>
      <c r="I102" s="3">
        <f>IF(F102="","","Técnica "&amp;IF(G102="",F102,G102)&amp;" do Imortal")</f>
        <v/>
      </c>
    </row>
    <row r="103">
      <c r="A103" t="n">
        <v>302</v>
      </c>
      <c r="B103" t="inlineStr">
        <is>
          <t>海</t>
        </is>
      </c>
      <c r="C103" t="inlineStr">
        <is>
          <t>mar</t>
        </is>
      </c>
      <c r="D103" t="inlineStr">
        <is>
          <t>Oceanic</t>
        </is>
      </c>
      <c r="F103" s="2" t="inlineStr">
        <is>
          <t>Marinho</t>
        </is>
      </c>
      <c r="G103" s="2" t="inlineStr">
        <is>
          <t>Marinha</t>
        </is>
      </c>
      <c r="H103" s="3">
        <f>IF(F103="","","Manual Secreto "&amp;F103&amp;" do Imortal")</f>
        <v/>
      </c>
      <c r="I103" s="3">
        <f>IF(F103="","","Técnica "&amp;IF(G103="",F103,G103)&amp;" do Imortal")</f>
        <v/>
      </c>
    </row>
    <row r="104">
      <c r="A104" t="n">
        <v>303</v>
      </c>
      <c r="B104" t="inlineStr">
        <is>
          <t>印</t>
        </is>
      </c>
      <c r="C104" t="inlineStr">
        <is>
          <t>selo, marca</t>
        </is>
      </c>
      <c r="D104" t="inlineStr">
        <is>
          <t>Symbolic</t>
        </is>
      </c>
      <c r="F104" s="2" t="inlineStr">
        <is>
          <t>Selado</t>
        </is>
      </c>
      <c r="G104" s="2" t="inlineStr">
        <is>
          <t>Selada</t>
        </is>
      </c>
      <c r="H104" s="3">
        <f>IF(F104="","","Manual Secreto "&amp;F104&amp;" do Imortal")</f>
        <v/>
      </c>
      <c r="I104" s="3">
        <f>IF(F104="","","Técnica "&amp;IF(G104="",F104,G104)&amp;" do Imortal")</f>
        <v/>
      </c>
    </row>
    <row r="105">
      <c r="A105" t="n">
        <v>304</v>
      </c>
      <c r="B105" t="inlineStr">
        <is>
          <t>钟</t>
        </is>
      </c>
      <c r="C105" t="inlineStr">
        <is>
          <t>sino</t>
        </is>
      </c>
      <c r="D105" t="inlineStr">
        <is>
          <t>Tolling</t>
        </is>
      </c>
      <c r="F105" s="2" t="inlineStr">
        <is>
          <t>Ecoante</t>
        </is>
      </c>
      <c r="G105" s="2" t="n"/>
      <c r="H105" s="3">
        <f>IF(F105="","","Manual Secreto "&amp;F105&amp;" do Imortal")</f>
        <v/>
      </c>
      <c r="I105" s="3">
        <f>IF(F105="","","Técnica "&amp;IF(G105="",F105,G105)&amp;" do Imortal")</f>
        <v/>
      </c>
    </row>
    <row r="106">
      <c r="A106" t="n">
        <v>305</v>
      </c>
      <c r="B106" t="inlineStr">
        <is>
          <t>鼎</t>
        </is>
      </c>
      <c r="C106" t="inlineStr">
        <is>
          <t>caldeirão ritual (ding)</t>
        </is>
      </c>
      <c r="D106" t="inlineStr">
        <is>
          <t>Vesseled</t>
        </is>
      </c>
      <c r="F106" s="2" t="inlineStr">
        <is>
          <t>Ritualístico</t>
        </is>
      </c>
      <c r="G106" s="2" t="inlineStr">
        <is>
          <t>Ritualística</t>
        </is>
      </c>
      <c r="H106" s="3">
        <f>IF(F106="","","Manual Secreto "&amp;F106&amp;" do Imortal")</f>
        <v/>
      </c>
      <c r="I106" s="3">
        <f>IF(F106="","","Técnica "&amp;IF(G106="",F106,G106)&amp;" do Imortal")</f>
        <v/>
      </c>
    </row>
    <row r="107">
      <c r="A107" t="n">
        <v>306</v>
      </c>
      <c r="B107" t="inlineStr">
        <is>
          <t>幻</t>
        </is>
      </c>
      <c r="C107" t="inlineStr">
        <is>
          <t>ilusão</t>
        </is>
      </c>
      <c r="D107" t="inlineStr">
        <is>
          <t>Marvelous</t>
        </is>
      </c>
      <c r="F107" s="2" t="inlineStr">
        <is>
          <t>Ilusório</t>
        </is>
      </c>
      <c r="G107" s="2" t="inlineStr">
        <is>
          <t>Ilusória</t>
        </is>
      </c>
      <c r="H107" s="3">
        <f>IF(F107="","","Manual Secreto "&amp;F107&amp;" do Imortal")</f>
        <v/>
      </c>
      <c r="I107" s="3">
        <f>IF(F107="","","Técnica "&amp;IF(G107="",F107,G107)&amp;" do Imortal")</f>
        <v/>
      </c>
    </row>
    <row r="108">
      <c r="A108" t="n">
        <v>307</v>
      </c>
      <c r="B108" t="inlineStr">
        <is>
          <t>妖</t>
        </is>
      </c>
      <c r="C108" t="inlineStr">
        <is>
          <t>fera demoníaca (yao)</t>
        </is>
      </c>
      <c r="D108" t="inlineStr">
        <is>
          <t>Daemonic</t>
        </is>
      </c>
      <c r="F108" s="2" t="inlineStr">
        <is>
          <t>Feroz</t>
        </is>
      </c>
      <c r="G108" s="2" t="n"/>
      <c r="H108" s="3">
        <f>IF(F108="","","Manual Secreto "&amp;F108&amp;" do Imortal")</f>
        <v/>
      </c>
      <c r="I108" s="3">
        <f>IF(F108="","","Técnica "&amp;IF(G108="",F108,G108)&amp;" do Imortal")</f>
        <v/>
      </c>
    </row>
    <row r="109">
      <c r="A109" t="n">
        <v>308</v>
      </c>
      <c r="B109" t="inlineStr">
        <is>
          <t>仙</t>
        </is>
      </c>
      <c r="C109" t="inlineStr">
        <is>
          <t>imortal</t>
        </is>
      </c>
      <c r="D109" t="inlineStr">
        <is>
          <t>Immortal</t>
        </is>
      </c>
      <c r="F109" s="2" t="inlineStr">
        <is>
          <t>Imortal</t>
        </is>
      </c>
      <c r="G109" s="2" t="n"/>
      <c r="H109" s="3">
        <f>IF(F109="","","Manual Secreto "&amp;F109&amp;" do Imortal")</f>
        <v/>
      </c>
      <c r="I109" s="3">
        <f>IF(F109="","","Técnica "&amp;IF(G109="",F109,G109)&amp;" do Imortal")</f>
        <v/>
      </c>
    </row>
    <row r="110">
      <c r="A110" t="n">
        <v>309</v>
      </c>
      <c r="B110" t="inlineStr">
        <is>
          <t>武</t>
        </is>
      </c>
      <c r="C110" t="inlineStr">
        <is>
          <t>marcial</t>
        </is>
      </c>
      <c r="D110" t="inlineStr">
        <is>
          <t>Martial</t>
        </is>
      </c>
      <c r="F110" s="2" t="inlineStr">
        <is>
          <t>Marcial</t>
        </is>
      </c>
      <c r="G110" s="2" t="n"/>
      <c r="H110" s="3">
        <f>IF(F110="","","Manual Secreto "&amp;F110&amp;" do Imortal")</f>
        <v/>
      </c>
      <c r="I110" s="3">
        <f>IF(F110="","","Técnica "&amp;IF(G110="",F110,G110)&amp;" do Imortal")</f>
        <v/>
      </c>
    </row>
    <row r="111">
      <c r="A111" t="n">
        <v>310</v>
      </c>
      <c r="B111" t="inlineStr">
        <is>
          <t>雀</t>
        </is>
      </c>
      <c r="C111" t="inlineStr">
        <is>
          <t>pardal, ave</t>
        </is>
      </c>
      <c r="D111" t="inlineStr">
        <is>
          <t>Avian</t>
        </is>
      </c>
      <c r="F111" s="2" t="inlineStr">
        <is>
          <t>Veloz</t>
        </is>
      </c>
      <c r="G111" s="2" t="n"/>
      <c r="H111" s="3">
        <f>IF(F111="","","Manual Secreto "&amp;F111&amp;" do Imortal")</f>
        <v/>
      </c>
      <c r="I111" s="3">
        <f>IF(F111="","","Técnica "&amp;IF(G111="",F111,G111)&amp;" do Imortal")</f>
        <v/>
      </c>
    </row>
    <row r="112">
      <c r="A112" t="n">
        <v>311</v>
      </c>
      <c r="B112" t="inlineStr">
        <is>
          <t>刚</t>
        </is>
      </c>
      <c r="C112" t="inlineStr">
        <is>
          <t>firme, rígido</t>
        </is>
      </c>
      <c r="D112" t="inlineStr">
        <is>
          <t>Ironic</t>
        </is>
      </c>
      <c r="E112" t="inlineStr">
        <is>
          <t>o inglês diz 'Ironic', o hanzi é 'firme'</t>
        </is>
      </c>
      <c r="F112" s="2" t="inlineStr">
        <is>
          <t>Rígido</t>
        </is>
      </c>
      <c r="G112" s="2" t="inlineStr">
        <is>
          <t>Rígida</t>
        </is>
      </c>
      <c r="H112" s="3">
        <f>IF(F112="","","Manual Secreto "&amp;F112&amp;" do Imortal")</f>
        <v/>
      </c>
      <c r="I112" s="3">
        <f>IF(F112="","","Técnica "&amp;IF(G112="",F112,G112)&amp;" do Imortal")</f>
        <v/>
      </c>
    </row>
    <row r="113">
      <c r="A113" t="n">
        <v>312</v>
      </c>
      <c r="B113" t="inlineStr">
        <is>
          <t>扫</t>
        </is>
      </c>
      <c r="C113" t="inlineStr">
        <is>
          <t>varrer</t>
        </is>
      </c>
      <c r="D113" t="inlineStr">
        <is>
          <t>Sweeping</t>
        </is>
      </c>
      <c r="F113" s="2" t="inlineStr">
        <is>
          <t>Varredor</t>
        </is>
      </c>
      <c r="G113" s="2" t="inlineStr">
        <is>
          <t>Varredora</t>
        </is>
      </c>
      <c r="H113" s="3">
        <f>IF(F113="","","Manual Secreto "&amp;F113&amp;" do Imortal")</f>
        <v/>
      </c>
      <c r="I113" s="3">
        <f>IF(F113="","","Técnica "&amp;IF(G113="",F113,G113)&amp;" do Imortal")</f>
        <v/>
      </c>
    </row>
    <row r="114">
      <c r="A114" t="n">
        <v>313</v>
      </c>
      <c r="B114" t="inlineStr">
        <is>
          <t>背</t>
        </is>
      </c>
      <c r="C114" t="inlineStr">
        <is>
          <t>costas</t>
        </is>
      </c>
      <c r="D114" t="inlineStr">
        <is>
          <t>Rear</t>
        </is>
      </c>
      <c r="F114" s="2" t="inlineStr">
        <is>
          <t>Dorsal</t>
        </is>
      </c>
      <c r="G114" s="2" t="n"/>
      <c r="H114" s="3">
        <f>IF(F114="","","Manual Secreto "&amp;F114&amp;" do Imortal")</f>
        <v/>
      </c>
      <c r="I114" s="3">
        <f>IF(F114="","","Técnica "&amp;IF(G114="",F114,G114)&amp;" do Imortal")</f>
        <v/>
      </c>
    </row>
    <row r="115">
      <c r="A115" t="n">
        <v>314</v>
      </c>
      <c r="B115" t="inlineStr">
        <is>
          <t>地</t>
        </is>
      </c>
      <c r="C115" t="inlineStr">
        <is>
          <t>terra</t>
        </is>
      </c>
      <c r="D115" t="inlineStr">
        <is>
          <t>Earthly</t>
        </is>
      </c>
      <c r="F115" s="2" t="inlineStr">
        <is>
          <t>Terrestre</t>
        </is>
      </c>
      <c r="G115" s="2" t="n"/>
      <c r="H115" s="3">
        <f>IF(F115="","","Manual Secreto "&amp;F115&amp;" do Imortal")</f>
        <v/>
      </c>
      <c r="I115" s="3">
        <f>IF(F115="","","Técnica "&amp;IF(G115="",F115,G115)&amp;" do Imortal")</f>
        <v/>
      </c>
    </row>
    <row r="116">
      <c r="A116" t="n">
        <v>315</v>
      </c>
      <c r="B116" t="inlineStr">
        <is>
          <t>体</t>
        </is>
      </c>
      <c r="C116" t="inlineStr">
        <is>
          <t>corpo</t>
        </is>
      </c>
      <c r="D116" t="inlineStr">
        <is>
          <t>Bodily</t>
        </is>
      </c>
      <c r="F116" s="2" t="inlineStr">
        <is>
          <t>Corpóreo</t>
        </is>
      </c>
      <c r="G116" s="2" t="inlineStr">
        <is>
          <t>Corpórea</t>
        </is>
      </c>
      <c r="H116" s="3">
        <f>IF(F116="","","Manual Secreto "&amp;F116&amp;" do Imortal")</f>
        <v/>
      </c>
      <c r="I116" s="3">
        <f>IF(F116="","","Técnica "&amp;IF(G116="",F116,G116)&amp;" do Imortal")</f>
        <v/>
      </c>
    </row>
    <row r="117">
      <c r="A117" t="n">
        <v>316</v>
      </c>
      <c r="B117" t="inlineStr">
        <is>
          <t>野</t>
        </is>
      </c>
      <c r="C117" t="inlineStr">
        <is>
          <t>selvagem</t>
        </is>
      </c>
      <c r="D117" t="inlineStr">
        <is>
          <t>Wild</t>
        </is>
      </c>
      <c r="F117" s="2" t="inlineStr">
        <is>
          <t>Selvagem</t>
        </is>
      </c>
      <c r="G117" s="2" t="n"/>
      <c r="H117" s="3">
        <f>IF(F117="","","Manual Secreto "&amp;F117&amp;" do Imortal")</f>
        <v/>
      </c>
      <c r="I117" s="3">
        <f>IF(F117="","","Técnica "&amp;IF(G117="",F117,G117)&amp;" do Imortal")</f>
        <v/>
      </c>
    </row>
    <row r="118">
      <c r="A118" t="n">
        <v>317</v>
      </c>
      <c r="B118" t="inlineStr">
        <is>
          <t>动</t>
        </is>
      </c>
      <c r="C118" t="inlineStr">
        <is>
          <t>mover</t>
        </is>
      </c>
      <c r="D118" t="inlineStr">
        <is>
          <t>Moving</t>
        </is>
      </c>
      <c r="F118" s="2" t="inlineStr">
        <is>
          <t>Movediço</t>
        </is>
      </c>
      <c r="G118" s="2" t="inlineStr">
        <is>
          <t>Movediça</t>
        </is>
      </c>
      <c r="H118" s="3">
        <f>IF(F118="","","Manual Secreto "&amp;F118&amp;" do Imortal")</f>
        <v/>
      </c>
      <c r="I118" s="3">
        <f>IF(F118="","","Técnica "&amp;IF(G118="",F118,G118)&amp;" do Imortal")</f>
        <v/>
      </c>
    </row>
    <row r="119">
      <c r="A119" t="n">
        <v>318</v>
      </c>
      <c r="B119" t="inlineStr">
        <is>
          <t>壳</t>
        </is>
      </c>
      <c r="C119" t="inlineStr">
        <is>
          <t>casca, carapaça</t>
        </is>
      </c>
      <c r="D119" t="inlineStr">
        <is>
          <t>Shelled</t>
        </is>
      </c>
      <c r="F119" s="2" t="inlineStr">
        <is>
          <t>Encouraçado</t>
        </is>
      </c>
      <c r="G119" s="2" t="inlineStr">
        <is>
          <t>Encouraçada</t>
        </is>
      </c>
      <c r="H119" s="3">
        <f>IF(F119="","","Manual Secreto "&amp;F119&amp;" do Imortal")</f>
        <v/>
      </c>
      <c r="I119" s="3">
        <f>IF(F119="","","Técnica "&amp;IF(G119="",F119,G119)&amp;" do Imortal")</f>
        <v/>
      </c>
    </row>
    <row r="120">
      <c r="A120" t="n">
        <v>319</v>
      </c>
      <c r="B120" t="inlineStr">
        <is>
          <t>戾</t>
        </is>
      </c>
      <c r="C120" t="inlineStr">
        <is>
          <t>feroz, perverso</t>
        </is>
      </c>
      <c r="D120" t="inlineStr">
        <is>
          <t>Perilous</t>
        </is>
      </c>
      <c r="F120" s="2" t="inlineStr">
        <is>
          <t>Perverso</t>
        </is>
      </c>
      <c r="G120" s="2" t="inlineStr">
        <is>
          <t>Perversa</t>
        </is>
      </c>
      <c r="H120" s="3">
        <f>IF(F120="","","Manual Secreto "&amp;F120&amp;" do Imortal")</f>
        <v/>
      </c>
      <c r="I120" s="3">
        <f>IF(F120="","","Técnica "&amp;IF(G120="",F120,G120)&amp;" do Imortal")</f>
        <v/>
      </c>
    </row>
    <row r="121">
      <c r="A121" t="n">
        <v>320</v>
      </c>
      <c r="B121" t="inlineStr">
        <is>
          <t>英</t>
        </is>
      </c>
      <c r="C121" t="inlineStr">
        <is>
          <t>herói, flor</t>
        </is>
      </c>
      <c r="D121" t="inlineStr">
        <is>
          <t>Wise</t>
        </is>
      </c>
      <c r="F121" s="2" t="inlineStr">
        <is>
          <t>Heroico</t>
        </is>
      </c>
      <c r="G121" s="2" t="inlineStr">
        <is>
          <t>Heroica</t>
        </is>
      </c>
      <c r="H121" s="3">
        <f>IF(F121="","","Manual Secreto "&amp;F121&amp;" do Imortal")</f>
        <v/>
      </c>
      <c r="I121" s="3">
        <f>IF(F121="","","Técnica "&amp;IF(G121="",F121,G121)&amp;" do Imortal")</f>
        <v/>
      </c>
    </row>
    <row r="122">
      <c r="A122" t="n">
        <v>321</v>
      </c>
      <c r="B122" t="inlineStr">
        <is>
          <t>枫</t>
        </is>
      </c>
      <c r="C122" t="inlineStr">
        <is>
          <t>bordo (árvore)</t>
        </is>
      </c>
      <c r="D122" t="inlineStr">
        <is>
          <t>Maple</t>
        </is>
      </c>
      <c r="F122" s="2" t="inlineStr">
        <is>
          <t>Acobreado</t>
        </is>
      </c>
      <c r="G122" s="2" t="inlineStr">
        <is>
          <t>Acobreada</t>
        </is>
      </c>
      <c r="H122" s="3">
        <f>IF(F122="","","Manual Secreto "&amp;F122&amp;" do Imortal")</f>
        <v/>
      </c>
      <c r="I122" s="3">
        <f>IF(F122="","","Técnica "&amp;IF(G122="",F122,G122)&amp;" do Imortal")</f>
        <v/>
      </c>
    </row>
    <row r="123">
      <c r="A123" t="n">
        <v>322</v>
      </c>
      <c r="B123" t="inlineStr">
        <is>
          <t>雁</t>
        </is>
      </c>
      <c r="C123" t="inlineStr">
        <is>
          <t>ganso selvagem</t>
        </is>
      </c>
      <c r="D123" t="inlineStr">
        <is>
          <t>Anserine</t>
        </is>
      </c>
      <c r="F123" s="2" t="inlineStr">
        <is>
          <t>Migratório</t>
        </is>
      </c>
      <c r="G123" s="2" t="inlineStr">
        <is>
          <t>Migratória</t>
        </is>
      </c>
      <c r="H123" s="3">
        <f>IF(F123="","","Manual Secreto "&amp;F123&amp;" do Imortal")</f>
        <v/>
      </c>
      <c r="I123" s="3">
        <f>IF(F123="","","Técnica "&amp;IF(G123="",F123,G123)&amp;" do Imortal")</f>
        <v/>
      </c>
    </row>
    <row r="124">
      <c r="A124" t="n">
        <v>323</v>
      </c>
      <c r="B124" t="inlineStr">
        <is>
          <t>霞</t>
        </is>
      </c>
      <c r="C124" t="inlineStr">
        <is>
          <t>arrebol</t>
        </is>
      </c>
      <c r="D124" t="inlineStr">
        <is>
          <t>Hazy</t>
        </is>
      </c>
      <c r="F124" s="2" t="inlineStr">
        <is>
          <t>Crepuscular</t>
        </is>
      </c>
      <c r="G124" s="2" t="n"/>
      <c r="H124" s="3">
        <f>IF(F124="","","Manual Secreto "&amp;F124&amp;" do Imortal")</f>
        <v/>
      </c>
      <c r="I124" s="3">
        <f>IF(F124="","","Técnica "&amp;IF(G124="",F124,G124)&amp;" do Imortal")</f>
        <v/>
      </c>
    </row>
    <row r="125">
      <c r="A125" t="n">
        <v>324</v>
      </c>
      <c r="B125" t="inlineStr">
        <is>
          <t>凤</t>
        </is>
      </c>
      <c r="C125" t="inlineStr">
        <is>
          <t>fênix</t>
        </is>
      </c>
      <c r="D125" t="inlineStr">
        <is>
          <t>Windy</t>
        </is>
      </c>
      <c r="E125" t="inlineStr">
        <is>
          <t>o inglês diz 'Windy', o hanzi é 'fênix'</t>
        </is>
      </c>
      <c r="F125" s="2" t="inlineStr">
        <is>
          <t>Renascido</t>
        </is>
      </c>
      <c r="G125" s="2" t="inlineStr">
        <is>
          <t>Renascida</t>
        </is>
      </c>
      <c r="H125" s="3">
        <f>IF(F125="","","Manual Secreto "&amp;F125&amp;" do Imortal")</f>
        <v/>
      </c>
      <c r="I125" s="3">
        <f>IF(F125="","","Técnica "&amp;IF(G125="",F125,G125)&amp;" do Imortal")</f>
        <v/>
      </c>
    </row>
    <row r="126">
      <c r="A126" t="n">
        <v>325</v>
      </c>
      <c r="B126" t="inlineStr">
        <is>
          <t>合</t>
        </is>
      </c>
      <c r="C126" t="inlineStr">
        <is>
          <t>unir</t>
        </is>
      </c>
      <c r="D126" t="inlineStr">
        <is>
          <t>United</t>
        </is>
      </c>
      <c r="F126" s="2" t="inlineStr">
        <is>
          <t>Unido</t>
        </is>
      </c>
      <c r="G126" s="2" t="inlineStr">
        <is>
          <t>Unida</t>
        </is>
      </c>
      <c r="H126" s="3">
        <f>IF(F126="","","Manual Secreto "&amp;F126&amp;" do Imortal")</f>
        <v/>
      </c>
      <c r="I126" s="3">
        <f>IF(F126="","","Técnica "&amp;IF(G126="",F126,G126)&amp;" do Imortal")</f>
        <v/>
      </c>
    </row>
    <row r="127">
      <c r="A127" t="n">
        <v>326</v>
      </c>
      <c r="B127" t="inlineStr">
        <is>
          <t>孤</t>
        </is>
      </c>
      <c r="C127" t="inlineStr">
        <is>
          <t>solitário</t>
        </is>
      </c>
      <c r="D127" t="inlineStr">
        <is>
          <t>Lonely</t>
        </is>
      </c>
      <c r="F127" s="2" t="inlineStr">
        <is>
          <t>Solitário</t>
        </is>
      </c>
      <c r="G127" s="2" t="inlineStr">
        <is>
          <t>Solitária</t>
        </is>
      </c>
      <c r="H127" s="3">
        <f>IF(F127="","","Manual Secreto "&amp;F127&amp;" do Imortal")</f>
        <v/>
      </c>
      <c r="I127" s="3">
        <f>IF(F127="","","Técnica "&amp;IF(G127="",F127,G127)&amp;" do Imortal")</f>
        <v/>
      </c>
    </row>
    <row r="128">
      <c r="A128" t="n">
        <v>327</v>
      </c>
      <c r="B128" t="inlineStr">
        <is>
          <t>来</t>
        </is>
      </c>
      <c r="C128" t="inlineStr">
        <is>
          <t>vir</t>
        </is>
      </c>
      <c r="D128" t="inlineStr">
        <is>
          <t>Coming</t>
        </is>
      </c>
      <c r="F128" s="2" t="inlineStr">
        <is>
          <t>Iminente</t>
        </is>
      </c>
      <c r="G128" s="2" t="n"/>
      <c r="H128" s="3">
        <f>IF(F128="","","Manual Secreto "&amp;F128&amp;" do Imortal")</f>
        <v/>
      </c>
      <c r="I128" s="3">
        <f>IF(F128="","","Técnica "&amp;IF(G128="",F128,G128)&amp;" do Imortal")</f>
        <v/>
      </c>
    </row>
    <row r="129">
      <c r="A129" t="n">
        <v>328</v>
      </c>
      <c r="B129" t="inlineStr">
        <is>
          <t>相</t>
        </is>
      </c>
      <c r="C129" t="inlineStr">
        <is>
          <t>aspecto, mútuo</t>
        </is>
      </c>
      <c r="D129" t="inlineStr">
        <is>
          <t>Aspected</t>
        </is>
      </c>
      <c r="F129" s="2" t="inlineStr">
        <is>
          <t>Mútuo</t>
        </is>
      </c>
      <c r="G129" s="2" t="inlineStr">
        <is>
          <t>Mútua</t>
        </is>
      </c>
      <c r="H129" s="3">
        <f>IF(F129="","","Manual Secreto "&amp;F129&amp;" do Imortal")</f>
        <v/>
      </c>
      <c r="I129" s="3">
        <f>IF(F129="","","Técnica "&amp;IF(G129="",F129,G129)&amp;" do Imortal")</f>
        <v/>
      </c>
    </row>
    <row r="130">
      <c r="A130" t="n">
        <v>329</v>
      </c>
      <c r="B130" t="inlineStr">
        <is>
          <t>罡</t>
        </is>
      </c>
      <c r="C130" t="inlineStr">
        <is>
          <t>força celestial (Tiangang)</t>
        </is>
      </c>
      <c r="D130" t="inlineStr">
        <is>
          <t>Forceful</t>
        </is>
      </c>
      <c r="F130" s="2" t="inlineStr">
        <is>
          <t>Celestial</t>
        </is>
      </c>
      <c r="G130" s="2" t="n"/>
      <c r="H130" s="3">
        <f>IF(F130="","","Manual Secreto "&amp;F130&amp;" do Imortal")</f>
        <v/>
      </c>
      <c r="I130" s="3">
        <f>IF(F130="","","Técnica "&amp;IF(G130="",F130,G130)&amp;" do Imortal")</f>
        <v/>
      </c>
    </row>
    <row r="131">
      <c r="A131" t="n">
        <v>330</v>
      </c>
      <c r="B131" t="inlineStr">
        <is>
          <t>仪</t>
        </is>
      </c>
      <c r="C131" t="inlineStr">
        <is>
          <t>rito, instrumento</t>
        </is>
      </c>
      <c r="D131" t="inlineStr">
        <is>
          <t>Ritual</t>
        </is>
      </c>
      <c r="F131" s="2" t="inlineStr">
        <is>
          <t>Cerimonial</t>
        </is>
      </c>
      <c r="G131" s="2" t="n"/>
      <c r="H131" s="3">
        <f>IF(F131="","","Manual Secreto "&amp;F131&amp;" do Imortal")</f>
        <v/>
      </c>
      <c r="I131" s="3">
        <f>IF(F131="","","Técnica "&amp;IF(G131="",F131,G131)&amp;" do Imortal")</f>
        <v/>
      </c>
    </row>
    <row r="132">
      <c r="A132" t="n">
        <v>331</v>
      </c>
      <c r="B132" t="inlineStr">
        <is>
          <t>象</t>
        </is>
      </c>
      <c r="C132" t="inlineStr">
        <is>
          <t>imagem, fenômeno</t>
        </is>
      </c>
      <c r="D132" t="inlineStr">
        <is>
          <t>Phenomenal</t>
        </is>
      </c>
      <c r="F132" s="2" t="inlineStr">
        <is>
          <t>Fenomenal</t>
        </is>
      </c>
      <c r="G132" s="2" t="n"/>
      <c r="H132" s="3">
        <f>IF(F132="","","Manual Secreto "&amp;F132&amp;" do Imortal")</f>
        <v/>
      </c>
      <c r="I132" s="3">
        <f>IF(F132="","","Técnica "&amp;IF(G132="",F132,G132)&amp;" do Imortal")</f>
        <v/>
      </c>
    </row>
    <row r="133">
      <c r="A133" t="n">
        <v>332</v>
      </c>
      <c r="B133" t="inlineStr">
        <is>
          <t>卦</t>
        </is>
      </c>
      <c r="C133" t="inlineStr">
        <is>
          <t>trigrama</t>
        </is>
      </c>
      <c r="D133" t="inlineStr">
        <is>
          <t>Trigrammic</t>
        </is>
      </c>
      <c r="F133" s="2" t="inlineStr">
        <is>
          <t>Oracular</t>
        </is>
      </c>
      <c r="G133" s="2" t="n"/>
      <c r="H133" s="3">
        <f>IF(F133="","","Manual Secreto "&amp;F133&amp;" do Imortal")</f>
        <v/>
      </c>
      <c r="I133" s="3">
        <f>IF(F133="","","Técnica "&amp;IF(G133="",F133,G133)&amp;" do Imortal")</f>
        <v/>
      </c>
    </row>
    <row r="134">
      <c r="A134" t="n">
        <v>333</v>
      </c>
      <c r="B134" t="inlineStr">
        <is>
          <t>军</t>
        </is>
      </c>
      <c r="C134" t="inlineStr">
        <is>
          <t>exército</t>
        </is>
      </c>
      <c r="D134" t="inlineStr">
        <is>
          <t>Military</t>
        </is>
      </c>
      <c r="F134" s="2" t="inlineStr">
        <is>
          <t>Militar</t>
        </is>
      </c>
      <c r="G134" s="2" t="n"/>
      <c r="H134" s="3">
        <f>IF(F134="","","Manual Secreto "&amp;F134&amp;" do Imortal")</f>
        <v/>
      </c>
      <c r="I134" s="3">
        <f>IF(F134="","","Técnica "&amp;IF(G134="",F134,G134)&amp;" do Imortal")</f>
        <v/>
      </c>
    </row>
    <row r="135">
      <c r="A135" t="n">
        <v>334</v>
      </c>
      <c r="B135" t="inlineStr">
        <is>
          <t>镜</t>
        </is>
      </c>
      <c r="C135" t="inlineStr">
        <is>
          <t>espelho</t>
        </is>
      </c>
      <c r="D135" t="inlineStr">
        <is>
          <t>Mirroring</t>
        </is>
      </c>
      <c r="F135" s="2" t="inlineStr">
        <is>
          <t>Refletor</t>
        </is>
      </c>
      <c r="G135" s="2" t="inlineStr">
        <is>
          <t>Refletora</t>
        </is>
      </c>
      <c r="H135" s="3">
        <f>IF(F135="","","Manual Secreto "&amp;F135&amp;" do Imortal")</f>
        <v/>
      </c>
      <c r="I135" s="3">
        <f>IF(F135="","","Técnica "&amp;IF(G135="",F135,G135)&amp;" do Imortal")</f>
        <v/>
      </c>
    </row>
    <row r="136">
      <c r="A136" t="n">
        <v>335</v>
      </c>
      <c r="B136" t="inlineStr">
        <is>
          <t>柔</t>
        </is>
      </c>
      <c r="C136" t="inlineStr">
        <is>
          <t>suave</t>
        </is>
      </c>
      <c r="D136" t="inlineStr">
        <is>
          <t>Soft</t>
        </is>
      </c>
      <c r="F136" s="2" t="inlineStr">
        <is>
          <t>Suave</t>
        </is>
      </c>
      <c r="G136" s="2" t="n"/>
      <c r="H136" s="3">
        <f>IF(F136="","","Manual Secreto "&amp;F136&amp;" do Imortal")</f>
        <v/>
      </c>
      <c r="I136" s="3">
        <f>IF(F136="","","Técnica "&amp;IF(G136="",F136,G136)&amp;" do Imortal")</f>
        <v/>
      </c>
    </row>
    <row r="137">
      <c r="A137" t="n">
        <v>336</v>
      </c>
      <c r="B137" t="inlineStr">
        <is>
          <t>和</t>
        </is>
      </c>
      <c r="C137" t="inlineStr">
        <is>
          <t>harmonia, paz</t>
        </is>
      </c>
      <c r="D137" t="inlineStr">
        <is>
          <t>Peaceful</t>
        </is>
      </c>
      <c r="F137" s="2" t="inlineStr">
        <is>
          <t>Harmonioso</t>
        </is>
      </c>
      <c r="G137" s="2" t="inlineStr">
        <is>
          <t>Harmoniosa</t>
        </is>
      </c>
      <c r="H137" s="3">
        <f>IF(F137="","","Manual Secreto "&amp;F137&amp;" do Imortal")</f>
        <v/>
      </c>
      <c r="I137" s="3">
        <f>IF(F137="","","Técnica "&amp;IF(G137="",F137,G137)&amp;" do Imortal")</f>
        <v/>
      </c>
    </row>
    <row r="138">
      <c r="A138" t="n">
        <v>337</v>
      </c>
      <c r="B138" t="inlineStr">
        <is>
          <t>封</t>
        </is>
      </c>
      <c r="C138" t="inlineStr">
        <is>
          <t>selar</t>
        </is>
      </c>
      <c r="D138" t="inlineStr">
        <is>
          <t>Signing</t>
        </is>
      </c>
      <c r="F138" s="2" t="inlineStr">
        <is>
          <t>Fechado</t>
        </is>
      </c>
      <c r="G138" s="2" t="inlineStr">
        <is>
          <t>Fechada</t>
        </is>
      </c>
      <c r="H138" s="3">
        <f>IF(F138="","","Manual Secreto "&amp;F138&amp;" do Imortal")</f>
        <v/>
      </c>
      <c r="I138" s="3">
        <f>IF(F138="","","Técnica "&amp;IF(G138="",F138,G138)&amp;" do Imortal")</f>
        <v/>
      </c>
    </row>
    <row r="139">
      <c r="A139" t="n">
        <v>338</v>
      </c>
      <c r="B139" t="inlineStr">
        <is>
          <t>世</t>
        </is>
      </c>
      <c r="C139" t="inlineStr">
        <is>
          <t>mundo, geração</t>
        </is>
      </c>
      <c r="D139" t="inlineStr">
        <is>
          <t>Material</t>
        </is>
      </c>
      <c r="F139" s="2" t="inlineStr">
        <is>
          <t>Secular</t>
        </is>
      </c>
      <c r="G139" s="2" t="n"/>
      <c r="H139" s="3">
        <f>IF(F139="","","Manual Secreto "&amp;F139&amp;" do Imortal")</f>
        <v/>
      </c>
      <c r="I139" s="3">
        <f>IF(F139="","","Técnica "&amp;IF(G139="",F139,G139)&amp;" do Imortal")</f>
        <v/>
      </c>
    </row>
    <row r="140">
      <c r="A140" t="n">
        <v>339</v>
      </c>
      <c r="B140" t="inlineStr">
        <is>
          <t>绝</t>
        </is>
      </c>
      <c r="C140" t="inlineStr">
        <is>
          <t>extremo, ruptura</t>
        </is>
      </c>
      <c r="D140" t="inlineStr">
        <is>
          <t>Ending</t>
        </is>
      </c>
      <c r="F140" s="2" t="inlineStr">
        <is>
          <t>Absoluto</t>
        </is>
      </c>
      <c r="G140" s="2" t="inlineStr">
        <is>
          <t>Absoluta</t>
        </is>
      </c>
      <c r="H140" s="3">
        <f>IF(F140="","","Manual Secreto "&amp;F140&amp;" do Imortal")</f>
        <v/>
      </c>
      <c r="I140" s="3">
        <f>IF(F140="","","Técnica "&amp;IF(G140="",F140,G140)&amp;" do Imortal")</f>
        <v/>
      </c>
    </row>
    <row r="141">
      <c r="A141" t="n">
        <v>340</v>
      </c>
      <c r="B141" t="inlineStr">
        <is>
          <t>焰</t>
        </is>
      </c>
      <c r="C141" t="inlineStr">
        <is>
          <t>chama</t>
        </is>
      </c>
      <c r="D141" t="inlineStr">
        <is>
          <t>Flaming</t>
        </is>
      </c>
      <c r="F141" s="2" t="inlineStr">
        <is>
          <t>Flamejante</t>
        </is>
      </c>
      <c r="G141" s="2" t="n"/>
      <c r="H141" s="3">
        <f>IF(F141="","","Manual Secreto "&amp;F141&amp;" do Imortal")</f>
        <v/>
      </c>
      <c r="I141" s="3">
        <f>IF(F141="","","Técnica "&amp;IF(G141="",F141,G141)&amp;" do Imortal")</f>
        <v/>
      </c>
    </row>
    <row r="142">
      <c r="A142" t="n">
        <v>341</v>
      </c>
      <c r="B142" t="inlineStr">
        <is>
          <t>明</t>
        </is>
      </c>
      <c r="C142" t="inlineStr">
        <is>
          <t>brilho</t>
        </is>
      </c>
      <c r="D142" t="inlineStr">
        <is>
          <t>Bright</t>
        </is>
      </c>
      <c r="F142" s="2" t="inlineStr">
        <is>
          <t>Brilhante</t>
        </is>
      </c>
      <c r="G142" s="2" t="n"/>
      <c r="H142" s="3">
        <f>IF(F142="","","Manual Secreto "&amp;F142&amp;" do Imortal")</f>
        <v/>
      </c>
      <c r="I142" s="3">
        <f>IF(F142="","","Técnica "&amp;IF(G142="",F142,G142)&amp;" do Imortal")</f>
        <v/>
      </c>
    </row>
    <row r="143">
      <c r="A143" t="n">
        <v>342</v>
      </c>
      <c r="B143" t="inlineStr">
        <is>
          <t>宫</t>
        </is>
      </c>
      <c r="C143" t="inlineStr">
        <is>
          <t>palácio</t>
        </is>
      </c>
      <c r="D143" t="inlineStr">
        <is>
          <t>Palatial</t>
        </is>
      </c>
      <c r="F143" s="2" t="inlineStr">
        <is>
          <t>Palaciano</t>
        </is>
      </c>
      <c r="G143" s="2" t="inlineStr">
        <is>
          <t>Palaciana</t>
        </is>
      </c>
      <c r="H143" s="3">
        <f>IF(F143="","","Manual Secreto "&amp;F143&amp;" do Imortal")</f>
        <v/>
      </c>
      <c r="I143" s="3">
        <f>IF(F143="","","Técnica "&amp;IF(G143="",F143,G143)&amp;" do Imortal")</f>
        <v/>
      </c>
    </row>
    <row r="144">
      <c r="A144" t="n">
        <v>343</v>
      </c>
      <c r="B144" t="inlineStr">
        <is>
          <t>残</t>
        </is>
      </c>
      <c r="C144" t="inlineStr">
        <is>
          <t>remanescente, mutilado</t>
        </is>
      </c>
      <c r="D144" t="inlineStr">
        <is>
          <t>Defected</t>
        </is>
      </c>
      <c r="F144" s="2" t="inlineStr">
        <is>
          <t>Mutilado</t>
        </is>
      </c>
      <c r="G144" s="2" t="inlineStr">
        <is>
          <t>Mutilada</t>
        </is>
      </c>
      <c r="H144" s="3">
        <f>IF(F144="","","Manual Secreto "&amp;F144&amp;" do Imortal")</f>
        <v/>
      </c>
      <c r="I144" s="3">
        <f>IF(F144="","","Técnica "&amp;IF(G144="",F144,G144)&amp;" do Imortal")</f>
        <v/>
      </c>
    </row>
    <row r="145">
      <c r="A145" t="n">
        <v>344</v>
      </c>
      <c r="B145" t="inlineStr">
        <is>
          <t>行</t>
        </is>
      </c>
      <c r="C145" t="inlineStr">
        <is>
          <t>caminhar</t>
        </is>
      </c>
      <c r="D145" t="inlineStr">
        <is>
          <t>Walking</t>
        </is>
      </c>
      <c r="F145" s="2" t="inlineStr">
        <is>
          <t>Andarilho</t>
        </is>
      </c>
      <c r="G145" s="2" t="inlineStr">
        <is>
          <t>Andarilha</t>
        </is>
      </c>
      <c r="H145" s="3">
        <f>IF(F145="","","Manual Secreto "&amp;F145&amp;" do Imortal")</f>
        <v/>
      </c>
      <c r="I145" s="3">
        <f>IF(F145="","","Técnica "&amp;IF(G145="",F145,G145)&amp;" do Imortal")</f>
        <v/>
      </c>
    </row>
    <row r="146">
      <c r="A146" t="n">
        <v>345</v>
      </c>
      <c r="B146" t="inlineStr">
        <is>
          <t>战</t>
        </is>
      </c>
      <c r="C146" t="inlineStr">
        <is>
          <t>guerra</t>
        </is>
      </c>
      <c r="D146" t="inlineStr">
        <is>
          <t>Warring</t>
        </is>
      </c>
      <c r="F146" s="2" t="inlineStr">
        <is>
          <t>Bélico</t>
        </is>
      </c>
      <c r="G146" s="2" t="inlineStr">
        <is>
          <t>Bélica</t>
        </is>
      </c>
      <c r="H146" s="3">
        <f>IF(F146="","","Manual Secreto "&amp;F146&amp;" do Imortal")</f>
        <v/>
      </c>
      <c r="I146" s="3">
        <f>IF(F146="","","Técnica "&amp;IF(G146="",F146,G146)&amp;" do Imortal")</f>
        <v/>
      </c>
    </row>
    <row r="147">
      <c r="A147" t="n">
        <v>346</v>
      </c>
      <c r="B147" t="inlineStr">
        <is>
          <t>屠</t>
        </is>
      </c>
      <c r="C147" t="inlineStr">
        <is>
          <t>massacre</t>
        </is>
      </c>
      <c r="D147" t="inlineStr">
        <is>
          <t>Killing</t>
        </is>
      </c>
      <c r="F147" s="2" t="inlineStr">
        <is>
          <t>Sanguinolento</t>
        </is>
      </c>
      <c r="G147" s="2" t="inlineStr">
        <is>
          <t>Sanguinolenta</t>
        </is>
      </c>
      <c r="H147" s="3">
        <f>IF(F147="","","Manual Secreto "&amp;F147&amp;" do Imortal")</f>
        <v/>
      </c>
      <c r="I147" s="3">
        <f>IF(F147="","","Técnica "&amp;IF(G147="",F147,G147)&amp;" do Imortal")</f>
        <v/>
      </c>
    </row>
    <row r="148">
      <c r="A148" t="n">
        <v>347</v>
      </c>
      <c r="B148" t="inlineStr">
        <is>
          <t>刃</t>
        </is>
      </c>
      <c r="C148" t="inlineStr">
        <is>
          <t>lâmina</t>
        </is>
      </c>
      <c r="D148" t="inlineStr">
        <is>
          <t>Bladed</t>
        </is>
      </c>
      <c r="F148" s="2" t="inlineStr">
        <is>
          <t>Cortante</t>
        </is>
      </c>
      <c r="G148" s="2" t="n"/>
      <c r="H148" s="3">
        <f>IF(F148="","","Manual Secreto "&amp;F148&amp;" do Imortal")</f>
        <v/>
      </c>
      <c r="I148" s="3">
        <f>IF(F148="","","Técnica "&amp;IF(G148="",F148,G148)&amp;" do Imortal")</f>
        <v/>
      </c>
    </row>
    <row r="149">
      <c r="A149" t="n">
        <v>348</v>
      </c>
      <c r="B149" t="inlineStr">
        <is>
          <t>极</t>
        </is>
      </c>
      <c r="C149" t="inlineStr">
        <is>
          <t>extremo, supremo</t>
        </is>
      </c>
      <c r="D149" t="inlineStr">
        <is>
          <t>Ultimate</t>
        </is>
      </c>
      <c r="F149" s="2" t="inlineStr">
        <is>
          <t>Máximo</t>
        </is>
      </c>
      <c r="G149" s="2" t="inlineStr">
        <is>
          <t>Máxima</t>
        </is>
      </c>
      <c r="H149" s="3">
        <f>IF(F149="","","Manual Secreto "&amp;F149&amp;" do Imortal")</f>
        <v/>
      </c>
      <c r="I149" s="3">
        <f>IF(F149="","","Técnica "&amp;IF(G149="",F149,G149)&amp;" do Imortal")</f>
        <v/>
      </c>
    </row>
    <row r="150">
      <c r="A150" t="n">
        <v>349</v>
      </c>
      <c r="B150" t="inlineStr">
        <is>
          <t>剑</t>
        </is>
      </c>
      <c r="C150" t="inlineStr">
        <is>
          <t>espada</t>
        </is>
      </c>
      <c r="D150" t="inlineStr">
        <is>
          <t>Cutting</t>
        </is>
      </c>
      <c r="F150" s="2" t="inlineStr">
        <is>
          <t>Perfurante</t>
        </is>
      </c>
      <c r="G150" s="2" t="n"/>
      <c r="H150" s="3">
        <f>IF(F150="","","Manual Secreto "&amp;F150&amp;" do Imortal")</f>
        <v/>
      </c>
      <c r="I150" s="3">
        <f>IF(F150="","","Técnica "&amp;IF(G150="",F150,G150)&amp;" do Imortal")</f>
        <v/>
      </c>
    </row>
    <row r="151">
      <c r="A151" t="n">
        <v>350</v>
      </c>
      <c r="B151" t="inlineStr">
        <is>
          <t>玑</t>
        </is>
      </c>
      <c r="C151" t="inlineStr">
        <is>
          <t>pérola (estrela da Ursa Maior)</t>
        </is>
      </c>
      <c r="D151" t="inlineStr">
        <is>
          <t>Pearl</t>
        </is>
      </c>
      <c r="F151" s="2" t="inlineStr">
        <is>
          <t>Perolado</t>
        </is>
      </c>
      <c r="G151" s="2" t="inlineStr">
        <is>
          <t>Perolada</t>
        </is>
      </c>
      <c r="H151" s="3">
        <f>IF(F151="","","Manual Secreto "&amp;F151&amp;" do Imortal")</f>
        <v/>
      </c>
      <c r="I151" s="3">
        <f>IF(F151="","","Técnica "&amp;IF(G151="",F151,G151)&amp;" do Imortal")</f>
        <v/>
      </c>
    </row>
    <row r="152">
      <c r="A152" t="n">
        <v>351</v>
      </c>
      <c r="B152" t="inlineStr">
        <is>
          <t>絮</t>
        </is>
      </c>
      <c r="C152" t="inlineStr">
        <is>
          <t>penugem, algodão</t>
        </is>
      </c>
      <c r="D152" t="inlineStr">
        <is>
          <t>Bundling</t>
        </is>
      </c>
      <c r="F152" s="2" t="inlineStr">
        <is>
          <t>Macio</t>
        </is>
      </c>
      <c r="G152" s="2" t="inlineStr">
        <is>
          <t>Macia</t>
        </is>
      </c>
      <c r="H152" s="3">
        <f>IF(F152="","","Manual Secreto "&amp;F152&amp;" do Imortal")</f>
        <v/>
      </c>
      <c r="I152" s="3">
        <f>IF(F152="","","Técnica "&amp;IF(G152="",F152,G152)&amp;" do Imortal")</f>
        <v/>
      </c>
    </row>
    <row r="153">
      <c r="A153" t="n">
        <v>352</v>
      </c>
      <c r="B153" t="inlineStr">
        <is>
          <t>芒</t>
        </is>
      </c>
      <c r="C153" t="inlineStr">
        <is>
          <t>raio de luz, ponta</t>
        </is>
      </c>
      <c r="D153" t="inlineStr">
        <is>
          <t>Blinding</t>
        </is>
      </c>
      <c r="F153" s="2" t="inlineStr">
        <is>
          <t>Fuzilante</t>
        </is>
      </c>
      <c r="G153" s="2" t="n"/>
      <c r="H153" s="3">
        <f>IF(F153="","","Manual Secreto "&amp;F153&amp;" do Imortal")</f>
        <v/>
      </c>
      <c r="I153" s="3">
        <f>IF(F153="","","Técnica "&amp;IF(G153="",F153,G153)&amp;" do Imortal")</f>
        <v/>
      </c>
    </row>
    <row r="154">
      <c r="A154" t="n">
        <v>353</v>
      </c>
      <c r="B154" t="inlineStr">
        <is>
          <t>穹</t>
        </is>
      </c>
      <c r="C154" t="inlineStr">
        <is>
          <t>abóbada celeste</t>
        </is>
      </c>
      <c r="D154" t="inlineStr">
        <is>
          <t>Aerial</t>
        </is>
      </c>
      <c r="F154" s="2" t="inlineStr">
        <is>
          <t>Curvo</t>
        </is>
      </c>
      <c r="G154" s="2" t="inlineStr">
        <is>
          <t>Curva</t>
        </is>
      </c>
      <c r="H154" s="3">
        <f>IF(F154="","","Manual Secreto "&amp;F154&amp;" do Imortal")</f>
        <v/>
      </c>
      <c r="I154" s="3">
        <f>IF(F154="","","Técnica "&amp;IF(G154="",F154,G154)&amp;" do Imortal")</f>
        <v/>
      </c>
    </row>
    <row r="155">
      <c r="A155" t="n">
        <v>354</v>
      </c>
      <c r="B155" t="inlineStr">
        <is>
          <t>斗</t>
        </is>
      </c>
      <c r="C155" t="inlineStr">
        <is>
          <t>luta; a Ursa (constelação)</t>
        </is>
      </c>
      <c r="D155" t="inlineStr">
        <is>
          <t>Combative</t>
        </is>
      </c>
      <c r="F155" s="2" t="inlineStr">
        <is>
          <t>Lutador</t>
        </is>
      </c>
      <c r="G155" s="2" t="inlineStr">
        <is>
          <t>Lutadora</t>
        </is>
      </c>
      <c r="H155" s="3">
        <f>IF(F155="","","Manual Secreto "&amp;F155&amp;" do Imortal")</f>
        <v/>
      </c>
      <c r="I155" s="3">
        <f>IF(F155="","","Técnica "&amp;IF(G155="",F155,G155)&amp;" do Imortal")</f>
        <v/>
      </c>
    </row>
    <row r="156">
      <c r="A156" t="n">
        <v>355</v>
      </c>
      <c r="B156" t="inlineStr">
        <is>
          <t>真</t>
        </is>
      </c>
      <c r="C156" t="inlineStr">
        <is>
          <t>verdadeiro</t>
        </is>
      </c>
      <c r="D156" t="inlineStr">
        <is>
          <t>Only</t>
        </is>
      </c>
      <c r="E156" t="inlineStr">
        <is>
          <t>o inglês diz 'Only', o hanzi é 'verdadeiro'</t>
        </is>
      </c>
      <c r="F156" s="2" t="inlineStr">
        <is>
          <t>Verdadeiro</t>
        </is>
      </c>
      <c r="G156" s="2" t="inlineStr">
        <is>
          <t>Verdadeira</t>
        </is>
      </c>
      <c r="H156" s="3">
        <f>IF(F156="","","Manual Secreto "&amp;F156&amp;" do Imortal")</f>
        <v/>
      </c>
      <c r="I156" s="3">
        <f>IF(F156="","","Técnica "&amp;IF(G156="",F156,G156)&amp;" do Imortal")</f>
        <v/>
      </c>
    </row>
    <row r="157">
      <c r="A157" t="n">
        <v>356</v>
      </c>
      <c r="B157" t="inlineStr">
        <is>
          <t>蒙</t>
        </is>
      </c>
      <c r="C157" t="inlineStr">
        <is>
          <t>véu, ignorância</t>
        </is>
      </c>
      <c r="D157" t="inlineStr">
        <is>
          <t>Knowing</t>
        </is>
      </c>
      <c r="E157" t="inlineStr">
        <is>
          <t>o inglês diz 'Knowing', o hanzi é 'véu, ignorância'</t>
        </is>
      </c>
      <c r="F157" s="2" t="inlineStr">
        <is>
          <t>Velado</t>
        </is>
      </c>
      <c r="G157" s="2" t="inlineStr">
        <is>
          <t>Velada</t>
        </is>
      </c>
      <c r="H157" s="3">
        <f>IF(F157="","","Manual Secreto "&amp;F157&amp;" do Imortal")</f>
        <v/>
      </c>
      <c r="I157" s="3">
        <f>IF(F157="","","Técnica "&amp;IF(G157="",F157,G157)&amp;" do Imortal")</f>
        <v/>
      </c>
    </row>
    <row r="158">
      <c r="A158" t="n">
        <v>357</v>
      </c>
      <c r="B158" t="inlineStr">
        <is>
          <t>璇</t>
        </is>
      </c>
      <c r="C158" t="inlineStr">
        <is>
          <t>jade (estrela da Ursa Maior)</t>
        </is>
      </c>
      <c r="D158" t="inlineStr">
        <is>
          <t>Ivory</t>
        </is>
      </c>
      <c r="F158" s="2" t="inlineStr">
        <is>
          <t>Esmeraldino</t>
        </is>
      </c>
      <c r="G158" s="2" t="inlineStr">
        <is>
          <t>Esmeraldina</t>
        </is>
      </c>
      <c r="H158" s="3">
        <f>IF(F158="","","Manual Secreto "&amp;F158&amp;" do Imortal")</f>
        <v/>
      </c>
      <c r="I158" s="3">
        <f>IF(F158="","","Técnica "&amp;IF(G158="",F158,G158)&amp;" do Imortal")</f>
        <v/>
      </c>
    </row>
    <row r="159">
      <c r="A159" t="n">
        <v>358</v>
      </c>
      <c r="B159" t="inlineStr">
        <is>
          <t>夕</t>
        </is>
      </c>
      <c r="C159" t="inlineStr">
        <is>
          <t>crepúsculo</t>
        </is>
      </c>
      <c r="D159" t="inlineStr">
        <is>
          <t>Dusk</t>
        </is>
      </c>
      <c r="F159" s="2" t="inlineStr">
        <is>
          <t>Vespertino</t>
        </is>
      </c>
      <c r="G159" s="2" t="inlineStr">
        <is>
          <t>Vespertina</t>
        </is>
      </c>
      <c r="H159" s="3">
        <f>IF(F159="","","Manual Secreto "&amp;F159&amp;" do Imortal")</f>
        <v/>
      </c>
      <c r="I159" s="3">
        <f>IF(F159="","","Técnica "&amp;IF(G159="",F159,G159)&amp;" do Imortal")</f>
        <v/>
      </c>
    </row>
    <row r="160">
      <c r="A160" t="n">
        <v>359</v>
      </c>
      <c r="B160" t="inlineStr">
        <is>
          <t>叶</t>
        </is>
      </c>
      <c r="C160" t="inlineStr">
        <is>
          <t>folha</t>
        </is>
      </c>
      <c r="D160" t="inlineStr">
        <is>
          <t>Leafy</t>
        </is>
      </c>
      <c r="F160" s="2" t="inlineStr">
        <is>
          <t>Caduco</t>
        </is>
      </c>
      <c r="G160" s="2" t="inlineStr">
        <is>
          <t>Caduca</t>
        </is>
      </c>
      <c r="H160" s="3">
        <f>IF(F160="","","Manual Secreto "&amp;F160&amp;" do Imortal")</f>
        <v/>
      </c>
      <c r="I160" s="3">
        <f>IF(F160="","","Técnica "&amp;IF(G160="",F160,G160)&amp;" do Imortal")</f>
        <v/>
      </c>
    </row>
    <row r="161">
      <c r="A161" t="n">
        <v>360</v>
      </c>
      <c r="B161" t="inlineStr">
        <is>
          <t>蚀</t>
        </is>
      </c>
      <c r="C161" t="inlineStr">
        <is>
          <t>corroer</t>
        </is>
      </c>
      <c r="D161" t="inlineStr">
        <is>
          <t>Gnawing</t>
        </is>
      </c>
      <c r="F161" s="2" t="inlineStr">
        <is>
          <t>Corrosivo</t>
        </is>
      </c>
      <c r="G161" s="2" t="inlineStr">
        <is>
          <t>Corrosiva</t>
        </is>
      </c>
      <c r="H161" s="3">
        <f>IF(F161="","","Manual Secreto "&amp;F161&amp;" do Imortal")</f>
        <v/>
      </c>
      <c r="I161" s="3">
        <f>IF(F161="","","Técnica "&amp;IF(G161="",F161,G161)&amp;" do Imortal")</f>
        <v/>
      </c>
    </row>
    <row r="162">
      <c r="A162" t="n">
        <v>361</v>
      </c>
      <c r="B162" t="inlineStr">
        <is>
          <t>意</t>
        </is>
      </c>
      <c r="C162" t="inlineStr">
        <is>
          <t>intenção</t>
        </is>
      </c>
      <c r="D162" t="inlineStr">
        <is>
          <t>Willful</t>
        </is>
      </c>
      <c r="F162" s="2" t="inlineStr">
        <is>
          <t>Intencional</t>
        </is>
      </c>
      <c r="G162" s="2" t="n"/>
      <c r="H162" s="3">
        <f>IF(F162="","","Manual Secreto "&amp;F162&amp;" do Imortal")</f>
        <v/>
      </c>
      <c r="I162" s="3">
        <f>IF(F162="","","Técnica "&amp;IF(G162="",F162,G162)&amp;" do Imortal")</f>
        <v/>
      </c>
    </row>
    <row r="163">
      <c r="A163" t="n">
        <v>362</v>
      </c>
      <c r="B163" t="inlineStr">
        <is>
          <t>衍</t>
        </is>
      </c>
      <c r="C163" t="inlineStr">
        <is>
          <t>derivar, desdobrar</t>
        </is>
      </c>
      <c r="D163" t="inlineStr">
        <is>
          <t>Deducing</t>
        </is>
      </c>
      <c r="F163" s="2" t="inlineStr">
        <is>
          <t>Derivado</t>
        </is>
      </c>
      <c r="G163" s="2" t="inlineStr">
        <is>
          <t>Derivada</t>
        </is>
      </c>
      <c r="H163" s="3">
        <f>IF(F163="","","Manual Secreto "&amp;F163&amp;" do Imortal")</f>
        <v/>
      </c>
      <c r="I163" s="3">
        <f>IF(F163="","","Técnica "&amp;IF(G163="",F163,G163)&amp;" do Imortal")</f>
        <v/>
      </c>
    </row>
    <row r="164">
      <c r="A164" t="n">
        <v>363</v>
      </c>
      <c r="B164" t="inlineStr">
        <is>
          <t>盈</t>
        </is>
      </c>
      <c r="C164" t="inlineStr">
        <is>
          <t>pleno, cheio</t>
        </is>
      </c>
      <c r="D164" t="inlineStr">
        <is>
          <t>Umbral</t>
        </is>
      </c>
      <c r="E164" t="inlineStr">
        <is>
          <t>o inglês diz 'Umbral', o hanzi é 'pleno'</t>
        </is>
      </c>
      <c r="F164" s="2" t="inlineStr">
        <is>
          <t>Pleno</t>
        </is>
      </c>
      <c r="G164" s="2" t="inlineStr">
        <is>
          <t>Plena</t>
        </is>
      </c>
      <c r="H164" s="3">
        <f>IF(F164="","","Manual Secreto "&amp;F164&amp;" do Imortal")</f>
        <v/>
      </c>
      <c r="I164" s="3">
        <f>IF(F164="","","Técnica "&amp;IF(G164="",F164,G164)&amp;" do Imortal")</f>
        <v/>
      </c>
    </row>
    <row r="165">
      <c r="A165" t="n">
        <v>364</v>
      </c>
      <c r="B165" t="inlineStr">
        <is>
          <t>情</t>
        </is>
      </c>
      <c r="C165" t="inlineStr">
        <is>
          <t>sentimento, amor</t>
        </is>
      </c>
      <c r="D165" t="inlineStr">
        <is>
          <t>Loving</t>
        </is>
      </c>
      <c r="F165" s="2" t="inlineStr">
        <is>
          <t>Passional</t>
        </is>
      </c>
      <c r="G165" s="2" t="n"/>
      <c r="H165" s="3">
        <f>IF(F165="","","Manual Secreto "&amp;F165&amp;" do Imortal")</f>
        <v/>
      </c>
      <c r="I165" s="3">
        <f>IF(F165="","","Técnica "&amp;IF(G165="",F165,G165)&amp;" do Imortal")</f>
        <v/>
      </c>
    </row>
    <row r="166">
      <c r="A166" t="n">
        <v>365</v>
      </c>
      <c r="B166" t="inlineStr">
        <is>
          <t>瑶</t>
        </is>
      </c>
      <c r="C166" t="inlineStr">
        <is>
          <t>jade precioso</t>
        </is>
      </c>
      <c r="D166" t="inlineStr">
        <is>
          <t>Nacreous</t>
        </is>
      </c>
      <c r="F166" s="2" t="inlineStr">
        <is>
          <t>Adornado</t>
        </is>
      </c>
      <c r="G166" s="2" t="inlineStr">
        <is>
          <t>Adornada</t>
        </is>
      </c>
      <c r="H166" s="3">
        <f>IF(F166="","","Manual Secreto "&amp;F166&amp;" do Imortal")</f>
        <v/>
      </c>
      <c r="I166" s="3">
        <f>IF(F166="","","Técnica "&amp;IF(G166="",F166,G166)&amp;" do Imortal")</f>
        <v/>
      </c>
    </row>
    <row r="167">
      <c r="A167" t="n">
        <v>366</v>
      </c>
      <c r="B167" t="inlineStr">
        <is>
          <t>罗</t>
        </is>
      </c>
      <c r="C167" t="inlineStr">
        <is>
          <t>rede, seda</t>
        </is>
      </c>
      <c r="D167" t="inlineStr">
        <is>
          <t>Silken</t>
        </is>
      </c>
      <c r="F167" s="2" t="inlineStr">
        <is>
          <t>Tecido</t>
        </is>
      </c>
      <c r="G167" s="2" t="inlineStr">
        <is>
          <t>Tecida</t>
        </is>
      </c>
      <c r="H167" s="3">
        <f>IF(F167="","","Manual Secreto "&amp;F167&amp;" do Imortal")</f>
        <v/>
      </c>
      <c r="I167" s="3">
        <f>IF(F167="","","Técnica "&amp;IF(G167="",F167,G167)&amp;" do Imortal")</f>
        <v/>
      </c>
    </row>
    <row r="168">
      <c r="A168" t="n">
        <v>367</v>
      </c>
      <c r="B168" t="inlineStr">
        <is>
          <t>宇</t>
        </is>
      </c>
      <c r="C168" t="inlineStr">
        <is>
          <t>universo, espaço</t>
        </is>
      </c>
      <c r="D168" t="inlineStr">
        <is>
          <t>Universal</t>
        </is>
      </c>
      <c r="F168" s="2" t="inlineStr">
        <is>
          <t>Cósmico</t>
        </is>
      </c>
      <c r="G168" s="2" t="inlineStr">
        <is>
          <t>Cósmica</t>
        </is>
      </c>
      <c r="H168" s="3">
        <f>IF(F168="","","Manual Secreto "&amp;F168&amp;" do Imortal")</f>
        <v/>
      </c>
      <c r="I168" s="3">
        <f>IF(F168="","","Técnica "&amp;IF(G168="",F168,G168)&amp;" do Imortal")</f>
        <v/>
      </c>
    </row>
    <row r="169">
      <c r="A169" t="n">
        <v>368</v>
      </c>
      <c r="B169" t="inlineStr">
        <is>
          <t>湘</t>
        </is>
      </c>
      <c r="C169" t="inlineStr">
        <is>
          <t>rio Xiang</t>
        </is>
      </c>
      <c r="D169" t="inlineStr">
        <is>
          <t>Liquid</t>
        </is>
      </c>
      <c r="F169" s="2" t="inlineStr">
        <is>
          <t>Aquático</t>
        </is>
      </c>
      <c r="G169" s="2" t="inlineStr">
        <is>
          <t>Aquática</t>
        </is>
      </c>
      <c r="H169" s="3">
        <f>IF(F169="","","Manual Secreto "&amp;F169&amp;" do Imortal")</f>
        <v/>
      </c>
      <c r="I169" s="3">
        <f>IF(F169="","","Técnica "&amp;IF(G169="",F169,G169)&amp;" do Imortal")</f>
        <v/>
      </c>
    </row>
    <row r="170">
      <c r="A170" t="n">
        <v>369</v>
      </c>
      <c r="B170" t="inlineStr">
        <is>
          <t>磐</t>
        </is>
      </c>
      <c r="C170" t="inlineStr">
        <is>
          <t>rocha maciça</t>
        </is>
      </c>
      <c r="D170" t="inlineStr">
        <is>
          <t>Solid</t>
        </is>
      </c>
      <c r="F170" s="2" t="inlineStr">
        <is>
          <t>Maciço</t>
        </is>
      </c>
      <c r="G170" s="2" t="inlineStr">
        <is>
          <t>Maciça</t>
        </is>
      </c>
      <c r="H170" s="3">
        <f>IF(F170="","","Manual Secreto "&amp;F170&amp;" do Imortal")</f>
        <v/>
      </c>
      <c r="I170" s="3">
        <f>IF(F170="","","Técnica "&amp;IF(G170="",F170,G170)&amp;" do Imortal")</f>
        <v/>
      </c>
    </row>
    <row r="171">
      <c r="A171" t="n">
        <v>370</v>
      </c>
      <c r="B171" t="inlineStr">
        <is>
          <t>泽</t>
        </is>
      </c>
      <c r="C171" t="inlineStr">
        <is>
          <t>pântano; graça</t>
        </is>
      </c>
      <c r="D171" t="inlineStr">
        <is>
          <t>Mired</t>
        </is>
      </c>
      <c r="F171" s="2" t="inlineStr">
        <is>
          <t>Pantanoso</t>
        </is>
      </c>
      <c r="G171" s="2" t="inlineStr">
        <is>
          <t>Pantanosa</t>
        </is>
      </c>
      <c r="H171" s="3">
        <f>IF(F171="","","Manual Secreto "&amp;F171&amp;" do Imortal")</f>
        <v/>
      </c>
      <c r="I171" s="3">
        <f>IF(F171="","","Técnica "&amp;IF(G171="",F171,G171)&amp;" do Imortal")</f>
        <v/>
      </c>
    </row>
    <row r="172">
      <c r="A172" t="n">
        <v>371</v>
      </c>
      <c r="B172" t="inlineStr">
        <is>
          <t>玄</t>
        </is>
      </c>
      <c r="C172" t="inlineStr">
        <is>
          <t>misterioso</t>
        </is>
      </c>
      <c r="D172" t="inlineStr">
        <is>
          <t>Mystical</t>
        </is>
      </c>
      <c r="F172" s="2" t="inlineStr">
        <is>
          <t>Misterioso</t>
        </is>
      </c>
      <c r="G172" s="2" t="inlineStr">
        <is>
          <t>Misteriosa</t>
        </is>
      </c>
      <c r="H172" s="3">
        <f>IF(F172="","","Manual Secreto "&amp;F172&amp;" do Imortal")</f>
        <v/>
      </c>
      <c r="I172" s="3">
        <f>IF(F172="","","Técnica "&amp;IF(G172="",F172,G172)&amp;" do Imortal")</f>
        <v/>
      </c>
    </row>
    <row r="173">
      <c r="A173" t="n">
        <v>372</v>
      </c>
      <c r="B173" t="inlineStr">
        <is>
          <t>生</t>
        </is>
      </c>
      <c r="C173" t="inlineStr">
        <is>
          <t>vida, nascer</t>
        </is>
      </c>
      <c r="D173" t="inlineStr">
        <is>
          <t>Birthing</t>
        </is>
      </c>
      <c r="F173" s="2" t="inlineStr">
        <is>
          <t>Vivo</t>
        </is>
      </c>
      <c r="G173" s="2" t="inlineStr">
        <is>
          <t>Viva</t>
        </is>
      </c>
      <c r="H173" s="3">
        <f>IF(F173="","","Manual Secreto "&amp;F173&amp;" do Imortal")</f>
        <v/>
      </c>
      <c r="I173" s="3">
        <f>IF(F173="","","Técnica "&amp;IF(G173="",F173,G173)&amp;" do Imortal")</f>
        <v/>
      </c>
    </row>
    <row r="174">
      <c r="A174" t="n">
        <v>373</v>
      </c>
      <c r="B174" t="inlineStr">
        <is>
          <t>初</t>
        </is>
      </c>
      <c r="C174" t="inlineStr">
        <is>
          <t>início</t>
        </is>
      </c>
      <c r="D174" t="inlineStr">
        <is>
          <t>First</t>
        </is>
      </c>
      <c r="F174" s="2" t="inlineStr">
        <is>
          <t>Inicial</t>
        </is>
      </c>
      <c r="G174" s="2" t="n"/>
      <c r="H174" s="3">
        <f>IF(F174="","","Manual Secreto "&amp;F174&amp;" do Imortal")</f>
        <v/>
      </c>
      <c r="I174" s="3">
        <f>IF(F174="","","Técnica "&amp;IF(G174="",F174,G174)&amp;" do Imortal")</f>
        <v/>
      </c>
    </row>
    <row r="175">
      <c r="A175" t="n">
        <v>374</v>
      </c>
      <c r="B175" t="inlineStr">
        <is>
          <t>枢</t>
        </is>
      </c>
      <c r="C175" t="inlineStr">
        <is>
          <t>eixo, pivô (estrela da Ursa Maior)</t>
        </is>
      </c>
      <c r="D175" t="inlineStr">
        <is>
          <t>Key</t>
        </is>
      </c>
      <c r="F175" s="2" t="inlineStr">
        <is>
          <t>Central</t>
        </is>
      </c>
      <c r="G175" s="2" t="n"/>
      <c r="H175" s="3">
        <f>IF(F175="","","Manual Secreto "&amp;F175&amp;" do Imortal")</f>
        <v/>
      </c>
      <c r="I175" s="3">
        <f>IF(F175="","","Técnica "&amp;IF(G175="",F175,G175)&amp;" do Imortal")</f>
        <v/>
      </c>
    </row>
    <row r="176">
      <c r="A176" t="n">
        <v>375</v>
      </c>
      <c r="B176" t="inlineStr">
        <is>
          <t>苍</t>
        </is>
      </c>
      <c r="C176" t="inlineStr">
        <is>
          <t>azul-celeste, verde-escuro</t>
        </is>
      </c>
      <c r="D176" t="inlineStr">
        <is>
          <t>Azure</t>
        </is>
      </c>
      <c r="F176" s="2" t="inlineStr">
        <is>
          <t>Anil</t>
        </is>
      </c>
      <c r="G176" s="2" t="n"/>
      <c r="H176" s="3">
        <f>IF(F176="","","Manual Secreto "&amp;F176&amp;" do Imortal")</f>
        <v/>
      </c>
      <c r="I176" s="3">
        <f>IF(F176="","","Técnica "&amp;IF(G176="",F176,G176)&amp;" do Imortal")</f>
        <v/>
      </c>
    </row>
    <row r="177">
      <c r="A177" t="n">
        <v>376</v>
      </c>
      <c r="B177" t="inlineStr">
        <is>
          <t>曲</t>
        </is>
      </c>
      <c r="C177" t="inlineStr">
        <is>
          <t>curva, melodia</t>
        </is>
      </c>
      <c r="D177" t="inlineStr">
        <is>
          <t>Cornering</t>
        </is>
      </c>
      <c r="F177" s="2" t="inlineStr">
        <is>
          <t>Curvado</t>
        </is>
      </c>
      <c r="G177" s="2" t="inlineStr">
        <is>
          <t>Curvada</t>
        </is>
      </c>
      <c r="H177" s="3">
        <f>IF(F177="","","Manual Secreto "&amp;F177&amp;" do Imortal")</f>
        <v/>
      </c>
      <c r="I177" s="3">
        <f>IF(F177="","","Técnica "&amp;IF(G177="",F177,G177)&amp;" do Imortal")</f>
        <v/>
      </c>
    </row>
    <row r="178">
      <c r="A178" t="n">
        <v>377</v>
      </c>
      <c r="B178" t="inlineStr">
        <is>
          <t>权</t>
        </is>
      </c>
      <c r="C178" t="inlineStr">
        <is>
          <t>poder, autoridade</t>
        </is>
      </c>
      <c r="D178" t="inlineStr">
        <is>
          <t>Powerful</t>
        </is>
      </c>
      <c r="F178" s="2" t="inlineStr">
        <is>
          <t>Autoritário</t>
        </is>
      </c>
      <c r="G178" s="2" t="inlineStr">
        <is>
          <t>Autoritária</t>
        </is>
      </c>
      <c r="H178" s="3">
        <f>IF(F178="","","Manual Secreto "&amp;F178&amp;" do Imortal")</f>
        <v/>
      </c>
      <c r="I178" s="3">
        <f>IF(F178="","","Técnica "&amp;IF(G178="",F178,G178)&amp;" do Imortal")</f>
        <v/>
      </c>
    </row>
    <row r="179">
      <c r="A179" t="n">
        <v>378</v>
      </c>
      <c r="B179" t="inlineStr">
        <is>
          <t>炼</t>
        </is>
      </c>
      <c r="C179" t="inlineStr">
        <is>
          <t>refinar, forjar</t>
        </is>
      </c>
      <c r="D179" t="inlineStr">
        <is>
          <t>Forging</t>
        </is>
      </c>
      <c r="F179" s="2" t="inlineStr">
        <is>
          <t>Refinado</t>
        </is>
      </c>
      <c r="G179" s="2" t="inlineStr">
        <is>
          <t>Refinada</t>
        </is>
      </c>
      <c r="H179" s="3">
        <f>IF(F179="","","Manual Secreto "&amp;F179&amp;" do Imortal")</f>
        <v/>
      </c>
      <c r="I179" s="3">
        <f>IF(F179="","","Técnica "&amp;IF(G179="",F179,G179)&amp;" do Imortal")</f>
        <v/>
      </c>
    </row>
    <row r="180">
      <c r="A180" t="n">
        <v>379</v>
      </c>
      <c r="B180" t="inlineStr">
        <is>
          <t>殒</t>
        </is>
      </c>
      <c r="C180" t="inlineStr">
        <is>
          <t>perecer, meteoro</t>
        </is>
      </c>
      <c r="D180" t="inlineStr">
        <is>
          <t>Meteoric</t>
        </is>
      </c>
      <c r="F180" s="2" t="inlineStr">
        <is>
          <t>Perecível</t>
        </is>
      </c>
      <c r="G180" s="2" t="n"/>
      <c r="H180" s="3">
        <f>IF(F180="","","Manual Secreto "&amp;F180&amp;" do Imortal")</f>
        <v/>
      </c>
      <c r="I180" s="3">
        <f>IF(F180="","","Técnica "&amp;IF(G180="",F180,G180)&amp;" do Imortal")</f>
        <v/>
      </c>
    </row>
    <row r="181">
      <c r="A181" t="n">
        <v>380</v>
      </c>
      <c r="B181" t="inlineStr">
        <is>
          <t>垢</t>
        </is>
      </c>
      <c r="C181" t="inlineStr">
        <is>
          <t>sujeira</t>
        </is>
      </c>
      <c r="D181" t="inlineStr">
        <is>
          <t>Tainted</t>
        </is>
      </c>
      <c r="F181" s="2" t="inlineStr">
        <is>
          <t>Imundo</t>
        </is>
      </c>
      <c r="G181" s="2" t="inlineStr">
        <is>
          <t>Imunda</t>
        </is>
      </c>
      <c r="H181" s="3">
        <f>IF(F181="","","Manual Secreto "&amp;F181&amp;" do Imortal")</f>
        <v/>
      </c>
      <c r="I181" s="3">
        <f>IF(F181="","","Técnica "&amp;IF(G181="",F181,G181)&amp;" do Imortal")</f>
        <v/>
      </c>
    </row>
    <row r="182">
      <c r="A182" t="n">
        <v>381</v>
      </c>
      <c r="B182" t="inlineStr">
        <is>
          <t>缘</t>
        </is>
      </c>
      <c r="C182" t="inlineStr">
        <is>
          <t>destino, afinidade (carma)</t>
        </is>
      </c>
      <c r="D182" t="inlineStr">
        <is>
          <t>Karmic</t>
        </is>
      </c>
      <c r="F182" s="2" t="inlineStr">
        <is>
          <t>Cármico</t>
        </is>
      </c>
      <c r="G182" s="2" t="inlineStr">
        <is>
          <t>Cármica</t>
        </is>
      </c>
      <c r="H182" s="3">
        <f>IF(F182="","","Manual Secreto "&amp;F182&amp;" do Imortal")</f>
        <v/>
      </c>
      <c r="I182" s="3">
        <f>IF(F182="","","Técnica "&amp;IF(G182="",F182,G182)&amp;" do Imortal")</f>
        <v/>
      </c>
    </row>
    <row r="183">
      <c r="A183" t="n">
        <v>382</v>
      </c>
      <c r="B183" t="inlineStr">
        <is>
          <t>双</t>
        </is>
      </c>
      <c r="C183" t="inlineStr">
        <is>
          <t>duplo</t>
        </is>
      </c>
      <c r="D183" t="inlineStr">
        <is>
          <t>Twin</t>
        </is>
      </c>
      <c r="F183" s="2" t="inlineStr">
        <is>
          <t>Duplo</t>
        </is>
      </c>
      <c r="G183" s="2" t="inlineStr">
        <is>
          <t>Dupla</t>
        </is>
      </c>
      <c r="H183" s="3">
        <f>IF(F183="","","Manual Secreto "&amp;F183&amp;" do Imortal")</f>
        <v/>
      </c>
      <c r="I183" s="3">
        <f>IF(F183="","","Técnica "&amp;IF(G183="",F183,G183)&amp;" do Imortal")</f>
        <v/>
      </c>
    </row>
    <row r="184">
      <c r="A184" t="n">
        <v>383</v>
      </c>
      <c r="B184" t="inlineStr">
        <is>
          <t>禅</t>
        </is>
      </c>
      <c r="C184" t="inlineStr">
        <is>
          <t>zen</t>
        </is>
      </c>
      <c r="D184" t="inlineStr">
        <is>
          <t>Tranquil</t>
        </is>
      </c>
      <c r="F184" s="2" t="inlineStr">
        <is>
          <t>Meditativo</t>
        </is>
      </c>
      <c r="G184" s="2" t="inlineStr">
        <is>
          <t>Meditativa</t>
        </is>
      </c>
      <c r="H184" s="3">
        <f>IF(F184="","","Manual Secreto "&amp;F184&amp;" do Imortal")</f>
        <v/>
      </c>
      <c r="I184" s="3">
        <f>IF(F184="","","Técnica "&amp;IF(G184="",F184,G184)&amp;" do Imortal")</f>
        <v/>
      </c>
    </row>
    <row r="185">
      <c r="A185" t="n">
        <v>384</v>
      </c>
      <c r="B185" t="inlineStr">
        <is>
          <t>蕴</t>
        </is>
      </c>
      <c r="C185" t="inlineStr">
        <is>
          <t>acumular, conter</t>
        </is>
      </c>
      <c r="D185" t="inlineStr">
        <is>
          <t>Heaped</t>
        </is>
      </c>
      <c r="F185" s="2" t="inlineStr">
        <is>
          <t>Contido</t>
        </is>
      </c>
      <c r="G185" s="2" t="inlineStr">
        <is>
          <t>Contida</t>
        </is>
      </c>
      <c r="H185" s="3">
        <f>IF(F185="","","Manual Secreto "&amp;F185&amp;" do Imortal")</f>
        <v/>
      </c>
      <c r="I185" s="3">
        <f>IF(F185="","","Técnica "&amp;IF(G185="",F185,G185)&amp;" do Imortal")</f>
        <v/>
      </c>
    </row>
    <row r="186">
      <c r="A186" t="n">
        <v>385</v>
      </c>
      <c r="B186" t="inlineStr">
        <is>
          <t>命</t>
        </is>
      </c>
      <c r="C186" t="inlineStr">
        <is>
          <t>destino, vida</t>
        </is>
      </c>
      <c r="D186" t="inlineStr">
        <is>
          <t>Living</t>
        </is>
      </c>
      <c r="F186" s="2" t="inlineStr">
        <is>
          <t>Vital</t>
        </is>
      </c>
      <c r="G186" s="2" t="n"/>
      <c r="H186" s="3">
        <f>IF(F186="","","Manual Secreto "&amp;F186&amp;" do Imortal")</f>
        <v/>
      </c>
      <c r="I186" s="3">
        <f>IF(F186="","","Técnica "&amp;IF(G186="",F186,G186)&amp;" do Imortal")</f>
        <v/>
      </c>
    </row>
    <row r="187">
      <c r="A187" t="n">
        <v>386</v>
      </c>
      <c r="B187" t="inlineStr">
        <is>
          <t>刹</t>
        </is>
      </c>
      <c r="C187" t="inlineStr">
        <is>
          <t>instante</t>
        </is>
      </c>
      <c r="D187" t="inlineStr">
        <is>
          <t>Instant</t>
        </is>
      </c>
      <c r="F187" s="2" t="inlineStr">
        <is>
          <t>Efêmero</t>
        </is>
      </c>
      <c r="G187" s="2" t="inlineStr">
        <is>
          <t>Efêmera</t>
        </is>
      </c>
      <c r="H187" s="3">
        <f>IF(F187="","","Manual Secreto "&amp;F187&amp;" do Imortal")</f>
        <v/>
      </c>
      <c r="I187" s="3">
        <f>IF(F187="","","Técnica "&amp;IF(G187="",F187,G187)&amp;" do Imortal")</f>
        <v/>
      </c>
    </row>
    <row r="188">
      <c r="A188" t="n">
        <v>387</v>
      </c>
      <c r="B188" t="inlineStr">
        <is>
          <t>纹</t>
        </is>
      </c>
      <c r="C188" t="inlineStr">
        <is>
          <t>padrão, estria</t>
        </is>
      </c>
      <c r="D188" t="inlineStr">
        <is>
          <t>Adorned</t>
        </is>
      </c>
      <c r="F188" s="2" t="inlineStr">
        <is>
          <t>Estriado</t>
        </is>
      </c>
      <c r="G188" s="2" t="inlineStr">
        <is>
          <t>Estriada</t>
        </is>
      </c>
      <c r="H188" s="3">
        <f>IF(F188="","","Manual Secreto "&amp;F188&amp;" do Imortal")</f>
        <v/>
      </c>
      <c r="I188" s="3">
        <f>IF(F188="","","Técnica "&amp;IF(G188="",F188,G188)&amp;" do Imortal")</f>
        <v/>
      </c>
    </row>
    <row r="189">
      <c r="A189" t="n">
        <v>388</v>
      </c>
      <c r="B189" t="inlineStr">
        <is>
          <t>燃</t>
        </is>
      </c>
      <c r="C189" t="inlineStr">
        <is>
          <t>arder</t>
        </is>
      </c>
      <c r="D189" t="inlineStr">
        <is>
          <t>Burning</t>
        </is>
      </c>
      <c r="F189" s="2" t="inlineStr">
        <is>
          <t>Ardente</t>
        </is>
      </c>
      <c r="G189" s="2" t="n"/>
      <c r="H189" s="3">
        <f>IF(F189="","","Manual Secreto "&amp;F189&amp;" do Imortal")</f>
        <v/>
      </c>
      <c r="I189" s="3">
        <f>IF(F189="","","Técnica "&amp;IF(G189="",F189,G189)&amp;" do Imortal")</f>
        <v/>
      </c>
    </row>
    <row r="190">
      <c r="A190" t="n">
        <v>389</v>
      </c>
      <c r="B190" t="inlineStr">
        <is>
          <t>翎</t>
        </is>
      </c>
      <c r="C190" t="inlineStr">
        <is>
          <t>pluma da cauda</t>
        </is>
      </c>
      <c r="D190" t="inlineStr">
        <is>
          <t>Plumed</t>
        </is>
      </c>
      <c r="F190" s="2" t="inlineStr">
        <is>
          <t>Plumoso</t>
        </is>
      </c>
      <c r="G190" s="2" t="inlineStr">
        <is>
          <t>Plumosa</t>
        </is>
      </c>
      <c r="H190" s="3">
        <f>IF(F190="","","Manual Secreto "&amp;F190&amp;" do Imortal")</f>
        <v/>
      </c>
      <c r="I190" s="3">
        <f>IF(F190="","","Técnica "&amp;IF(G190="",F190,G190)&amp;" do Imortal")</f>
        <v/>
      </c>
    </row>
    <row r="191">
      <c r="A191" t="n">
        <v>390</v>
      </c>
      <c r="B191" t="inlineStr">
        <is>
          <t>魅</t>
        </is>
      </c>
      <c r="C191" t="inlineStr">
        <is>
          <t>encanto, sedução</t>
        </is>
      </c>
      <c r="D191" t="inlineStr">
        <is>
          <t>Alluring</t>
        </is>
      </c>
      <c r="F191" s="2" t="inlineStr">
        <is>
          <t>Sedutor</t>
        </is>
      </c>
      <c r="G191" s="2" t="inlineStr">
        <is>
          <t>Sedutora</t>
        </is>
      </c>
      <c r="H191" s="3">
        <f>IF(F191="","","Manual Secreto "&amp;F191&amp;" do Imortal")</f>
        <v/>
      </c>
      <c r="I191" s="3">
        <f>IF(F191="","","Técnica "&amp;IF(G191="",F191,G191)&amp;" do Imortal")</f>
        <v/>
      </c>
    </row>
    <row r="192">
      <c r="A192" t="n">
        <v>391</v>
      </c>
      <c r="B192" t="inlineStr">
        <is>
          <t>微</t>
        </is>
      </c>
      <c r="C192" t="inlineStr">
        <is>
          <t>diminuto</t>
        </is>
      </c>
      <c r="D192" t="inlineStr">
        <is>
          <t>Minimal</t>
        </is>
      </c>
      <c r="F192" s="2" t="inlineStr">
        <is>
          <t>Diminuto</t>
        </is>
      </c>
      <c r="G192" s="2" t="inlineStr">
        <is>
          <t>Diminuta</t>
        </is>
      </c>
      <c r="H192" s="3">
        <f>IF(F192="","","Manual Secreto "&amp;F192&amp;" do Imortal")</f>
        <v/>
      </c>
      <c r="I192" s="3">
        <f>IF(F192="","","Técnica "&amp;IF(G192="",F192,G192)&amp;" do Imortal")</f>
        <v/>
      </c>
    </row>
    <row r="193">
      <c r="A193" t="n">
        <v>392</v>
      </c>
      <c r="B193" t="inlineStr">
        <is>
          <t>春</t>
        </is>
      </c>
      <c r="C193" t="inlineStr">
        <is>
          <t>primavera</t>
        </is>
      </c>
      <c r="D193" t="inlineStr">
        <is>
          <t>Spring</t>
        </is>
      </c>
      <c r="F193" s="2" t="inlineStr">
        <is>
          <t>Primaveril</t>
        </is>
      </c>
      <c r="G193" s="2" t="n"/>
      <c r="H193" s="3">
        <f>IF(F193="","","Manual Secreto "&amp;F193&amp;" do Imortal")</f>
        <v/>
      </c>
      <c r="I193" s="3">
        <f>IF(F193="","","Técnica "&amp;IF(G193="",F193,G193)&amp;" do Imortal")</f>
        <v/>
      </c>
    </row>
    <row r="194">
      <c r="A194" t="n">
        <v>393</v>
      </c>
      <c r="B194" t="inlineStr">
        <is>
          <t>鸿</t>
        </is>
      </c>
      <c r="C194" t="inlineStr">
        <is>
          <t>ganso-cisne, grandioso</t>
        </is>
      </c>
      <c r="D194" t="inlineStr">
        <is>
          <t>Cardinal</t>
        </is>
      </c>
      <c r="F194" s="2" t="inlineStr">
        <is>
          <t>Grandioso</t>
        </is>
      </c>
      <c r="G194" s="2" t="inlineStr">
        <is>
          <t>Grandiosa</t>
        </is>
      </c>
      <c r="H194" s="3">
        <f>IF(F194="","","Manual Secreto "&amp;F194&amp;" do Imortal")</f>
        <v/>
      </c>
      <c r="I194" s="3">
        <f>IF(F194="","","Técnica "&amp;IF(G194="",F194,G194)&amp;" do Imortal")</f>
        <v/>
      </c>
    </row>
    <row r="195">
      <c r="A195" t="n">
        <v>394</v>
      </c>
      <c r="B195" t="inlineStr">
        <is>
          <t>寰</t>
        </is>
      </c>
      <c r="C195" t="inlineStr">
        <is>
          <t>universo, mundo</t>
        </is>
      </c>
      <c r="D195" t="inlineStr">
        <is>
          <t>Landed</t>
        </is>
      </c>
      <c r="F195" s="2" t="inlineStr">
        <is>
          <t>Universal</t>
        </is>
      </c>
      <c r="G195" s="2" t="n"/>
      <c r="H195" s="3">
        <f>IF(F195="","","Manual Secreto "&amp;F195&amp;" do Imortal")</f>
        <v/>
      </c>
      <c r="I195" s="3">
        <f>IF(F195="","","Técnica "&amp;IF(G195="",F195,G195)&amp;" do Imortal")</f>
        <v/>
      </c>
    </row>
    <row r="196">
      <c r="A196" t="n">
        <v>395</v>
      </c>
      <c r="B196" t="inlineStr">
        <is>
          <t>巽</t>
        </is>
      </c>
      <c r="C196" t="inlineStr">
        <is>
          <t>trigrama Xun (vento)</t>
        </is>
      </c>
      <c r="D196" t="inlineStr">
        <is>
          <t>Windy</t>
        </is>
      </c>
      <c r="F196" s="2" t="inlineStr">
        <is>
          <t>Ventoso</t>
        </is>
      </c>
      <c r="G196" s="2" t="inlineStr">
        <is>
          <t>Ventosa</t>
        </is>
      </c>
      <c r="H196" s="3">
        <f>IF(F196="","","Manual Secreto "&amp;F196&amp;" do Imortal")</f>
        <v/>
      </c>
      <c r="I196" s="3">
        <f>IF(F196="","","Técnica "&amp;IF(G196="",F196,G196)&amp;" do Imortal")</f>
        <v/>
      </c>
    </row>
    <row r="197">
      <c r="A197" t="n">
        <v>396</v>
      </c>
      <c r="B197" t="inlineStr">
        <is>
          <t>潇</t>
        </is>
      </c>
      <c r="C197" t="inlineStr">
        <is>
          <t>chuvoso e ventoso; elegante</t>
        </is>
      </c>
      <c r="D197" t="inlineStr">
        <is>
          <t>Hailing</t>
        </is>
      </c>
      <c r="F197" s="2" t="inlineStr">
        <is>
          <t>Elegante</t>
        </is>
      </c>
      <c r="G197" s="2" t="n"/>
      <c r="H197" s="3">
        <f>IF(F197="","","Manual Secreto "&amp;F197&amp;" do Imortal")</f>
        <v/>
      </c>
      <c r="I197" s="3">
        <f>IF(F197="","","Técnica "&amp;IF(G197="",F197,G197)&amp;" do Imortal")</f>
        <v/>
      </c>
    </row>
    <row r="198">
      <c r="A198" t="n">
        <v>397</v>
      </c>
      <c r="B198" t="inlineStr">
        <is>
          <t>南</t>
        </is>
      </c>
      <c r="C198" t="inlineStr">
        <is>
          <t>sul</t>
        </is>
      </c>
      <c r="D198" t="inlineStr">
        <is>
          <t>Southern</t>
        </is>
      </c>
      <c r="F198" s="2" t="inlineStr">
        <is>
          <t>Austral</t>
        </is>
      </c>
      <c r="G198" s="2" t="n"/>
      <c r="H198" s="3">
        <f>IF(F198="","","Manual Secreto "&amp;F198&amp;" do Imortal")</f>
        <v/>
      </c>
      <c r="I198" s="3">
        <f>IF(F198="","","Técnica "&amp;IF(G198="",F198,G198)&amp;" do Imortal")</f>
        <v/>
      </c>
    </row>
    <row r="199">
      <c r="A199" t="n">
        <v>398</v>
      </c>
      <c r="B199" t="inlineStr">
        <is>
          <t>东</t>
        </is>
      </c>
      <c r="C199" t="inlineStr">
        <is>
          <t>leste</t>
        </is>
      </c>
      <c r="D199" t="inlineStr">
        <is>
          <t>Northern</t>
        </is>
      </c>
      <c r="E199" t="inlineStr">
        <is>
          <t>o inglês diz 'Northern', o hanzi é 'leste'</t>
        </is>
      </c>
      <c r="F199" s="2" t="inlineStr">
        <is>
          <t>Oriental</t>
        </is>
      </c>
      <c r="G199" s="2" t="n"/>
      <c r="H199" s="3">
        <f>IF(F199="","","Manual Secreto "&amp;F199&amp;" do Imortal")</f>
        <v/>
      </c>
      <c r="I199" s="3">
        <f>IF(F199="","","Técnica "&amp;IF(G199="",F199,G199)&amp;" do Imortal")</f>
        <v/>
      </c>
    </row>
    <row r="200">
      <c r="A200" t="n">
        <v>399</v>
      </c>
      <c r="B200" t="inlineStr">
        <is>
          <t>北</t>
        </is>
      </c>
      <c r="C200" t="inlineStr">
        <is>
          <t>norte</t>
        </is>
      </c>
      <c r="D200" t="inlineStr">
        <is>
          <t>Eastern</t>
        </is>
      </c>
      <c r="E200" t="inlineStr">
        <is>
          <t>o inglês diz 'Eastern', o hanzi é 'norte'</t>
        </is>
      </c>
      <c r="F200" s="2" t="inlineStr">
        <is>
          <t>Boreal</t>
        </is>
      </c>
      <c r="G200" s="2" t="n"/>
      <c r="H200" s="3">
        <f>IF(F200="","","Manual Secreto "&amp;F200&amp;" do Imortal")</f>
        <v/>
      </c>
      <c r="I200" s="3">
        <f>IF(F200="","","Técnica "&amp;IF(G200="",F200,G200)&amp;" do Imortal")</f>
        <v/>
      </c>
    </row>
    <row r="201">
      <c r="A201" t="n">
        <v>400</v>
      </c>
      <c r="B201" t="inlineStr">
        <is>
          <t>秋</t>
        </is>
      </c>
      <c r="C201" t="inlineStr">
        <is>
          <t>outono</t>
        </is>
      </c>
      <c r="D201" t="inlineStr">
        <is>
          <t>Autumnal</t>
        </is>
      </c>
      <c r="F201" s="2" t="inlineStr">
        <is>
          <t>Outonal</t>
        </is>
      </c>
      <c r="G201" s="2" t="n"/>
      <c r="H201" s="3">
        <f>IF(F201="","","Manual Secreto "&amp;F201&amp;" do Imortal")</f>
        <v/>
      </c>
      <c r="I201" s="3">
        <f>IF(F201="","","Técnica "&amp;IF(G201="",F201,G201)&amp;" do Imortal")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3"/>
    <col width="14" customWidth="1" min="4" max="4"/>
    <col width="30" customWidth="1" min="5" max="5"/>
    <col width="24" customWidth="1" min="6" max="6"/>
  </cols>
  <sheetData>
    <row r="1" ht="30" customHeight="1">
      <c r="A1" s="1" t="inlineStr">
        <is>
          <t>Nome-base (já traduzido)</t>
        </is>
      </c>
      <c r="B1" s="1" t="inlineStr">
        <is>
          <t>Gênero (m/f)</t>
        </is>
      </c>
      <c r="C1" s="1" t="inlineStr">
        <is>
          <t>Número (s/p)</t>
        </is>
      </c>
      <c r="D1" s="1" t="inlineStr">
        <is>
          <t>Chinês</t>
        </is>
      </c>
      <c r="E1" s="1" t="inlineStr">
        <is>
          <t>Inglês</t>
        </is>
      </c>
      <c r="F1" s="1" t="inlineStr">
        <is>
          <t>Chave</t>
        </is>
      </c>
    </row>
    <row r="2">
      <c r="A2" t="inlineStr">
        <is>
          <t>Movimentação</t>
        </is>
      </c>
      <c r="B2" s="2" t="inlineStr">
        <is>
          <t>f</t>
        </is>
      </c>
      <c r="C2" s="2" t="inlineStr">
        <is>
          <t>s</t>
        </is>
      </c>
      <c r="D2" t="inlineStr">
        <is>
          <t>劲</t>
        </is>
      </c>
      <c r="E2" t="inlineStr">
        <is>
          <t>Move</t>
        </is>
      </c>
      <c r="F2" t="inlineStr">
        <is>
          <t>ability_name_last1</t>
        </is>
      </c>
    </row>
    <row r="3">
      <c r="A3" t="inlineStr">
        <is>
          <t>Sutra</t>
        </is>
      </c>
      <c r="B3" s="2" t="inlineStr">
        <is>
          <t>m</t>
        </is>
      </c>
      <c r="C3" s="2" t="inlineStr">
        <is>
          <t>s</t>
        </is>
      </c>
      <c r="D3" t="inlineStr">
        <is>
          <t>经</t>
        </is>
      </c>
      <c r="E3" t="inlineStr">
        <is>
          <t>Sutra</t>
        </is>
      </c>
      <c r="F3" t="inlineStr">
        <is>
          <t>ability_name_last2</t>
        </is>
      </c>
    </row>
    <row r="4">
      <c r="A4" t="inlineStr">
        <is>
          <t>Técnica</t>
        </is>
      </c>
      <c r="B4" s="2" t="inlineStr">
        <is>
          <t>f</t>
        </is>
      </c>
      <c r="C4" s="2" t="inlineStr">
        <is>
          <t>s</t>
        </is>
      </c>
      <c r="D4" t="inlineStr">
        <is>
          <t>式</t>
        </is>
      </c>
      <c r="E4" t="inlineStr">
        <is>
          <t>Technique</t>
        </is>
      </c>
      <c r="F4" t="inlineStr">
        <is>
          <t>ability_name_last3</t>
        </is>
      </c>
    </row>
    <row r="5">
      <c r="A5" t="inlineStr">
        <is>
          <t>Guia</t>
        </is>
      </c>
      <c r="B5" s="2" t="inlineStr">
        <is>
          <t>m</t>
        </is>
      </c>
      <c r="C5" s="2" t="inlineStr">
        <is>
          <t>s</t>
        </is>
      </c>
      <c r="D5" t="inlineStr">
        <is>
          <t>诀</t>
        </is>
      </c>
      <c r="E5" t="inlineStr">
        <is>
          <t>Guide</t>
        </is>
      </c>
      <c r="F5" t="inlineStr">
        <is>
          <t>ability_name_last4</t>
        </is>
      </c>
    </row>
    <row r="6">
      <c r="A6" t="inlineStr">
        <is>
          <t>Compêndio</t>
        </is>
      </c>
      <c r="B6" s="2" t="inlineStr">
        <is>
          <t>m</t>
        </is>
      </c>
      <c r="C6" s="2" t="inlineStr">
        <is>
          <t>s</t>
        </is>
      </c>
      <c r="D6" t="inlineStr">
        <is>
          <t>录</t>
        </is>
      </c>
      <c r="E6" t="inlineStr">
        <is>
          <t>Compendium</t>
        </is>
      </c>
      <c r="F6" t="inlineStr">
        <is>
          <t>ability_name_last5</t>
        </is>
      </c>
    </row>
    <row r="7">
      <c r="A7" t="inlineStr">
        <is>
          <t>Manual Secreto</t>
        </is>
      </c>
      <c r="B7" s="2" t="inlineStr">
        <is>
          <t>m</t>
        </is>
      </c>
      <c r="C7" s="2" t="inlineStr">
        <is>
          <t>s</t>
        </is>
      </c>
      <c r="D7" t="inlineStr">
        <is>
          <t>秘卷</t>
        </is>
      </c>
      <c r="E7" t="inlineStr">
        <is>
          <t>Secret Manual</t>
        </is>
      </c>
      <c r="F7" t="inlineStr">
        <is>
          <t>ability_name_last6</t>
        </is>
      </c>
    </row>
    <row r="8">
      <c r="A8" t="inlineStr">
        <is>
          <t>Poder Divino</t>
        </is>
      </c>
      <c r="B8" s="2" t="inlineStr">
        <is>
          <t>m</t>
        </is>
      </c>
      <c r="C8" s="2" t="inlineStr">
        <is>
          <t>s</t>
        </is>
      </c>
      <c r="D8" t="inlineStr">
        <is>
          <t>神功</t>
        </is>
      </c>
      <c r="E8" t="inlineStr">
        <is>
          <t>Divine Power</t>
        </is>
      </c>
      <c r="F8" t="inlineStr">
        <is>
          <t>ability_name_last7</t>
        </is>
      </c>
    </row>
    <row r="9">
      <c r="A9" t="inlineStr">
        <is>
          <t>Mestria</t>
        </is>
      </c>
      <c r="B9" s="2" t="inlineStr">
        <is>
          <t>f</t>
        </is>
      </c>
      <c r="C9" s="2" t="inlineStr">
        <is>
          <t>s</t>
        </is>
      </c>
      <c r="D9" t="inlineStr">
        <is>
          <t>大法</t>
        </is>
      </c>
      <c r="E9" t="inlineStr">
        <is>
          <t>Mastery</t>
        </is>
      </c>
      <c r="F9" t="inlineStr">
        <is>
          <t>ability_name_last8</t>
        </is>
      </c>
    </row>
    <row r="10">
      <c r="A10" t="inlineStr">
        <is>
          <t>Salto</t>
        </is>
      </c>
      <c r="B10" s="2" t="inlineStr">
        <is>
          <t>m</t>
        </is>
      </c>
      <c r="C10" s="2" t="inlineStr">
        <is>
          <t>s</t>
        </is>
      </c>
      <c r="D10" t="inlineStr">
        <is>
          <t>跃</t>
        </is>
      </c>
      <c r="E10" t="inlineStr">
        <is>
          <t>Leap</t>
        </is>
      </c>
      <c r="F10" t="inlineStr">
        <is>
          <t>stepName1</t>
        </is>
      </c>
    </row>
    <row r="11">
      <c r="A11" t="inlineStr">
        <is>
          <t>Ilusão</t>
        </is>
      </c>
      <c r="B11" s="2" t="inlineStr">
        <is>
          <t>f</t>
        </is>
      </c>
      <c r="C11" s="2" t="inlineStr">
        <is>
          <t>s</t>
        </is>
      </c>
      <c r="D11" t="inlineStr">
        <is>
          <t>幻</t>
        </is>
      </c>
      <c r="E11" t="inlineStr">
        <is>
          <t>Illusion</t>
        </is>
      </c>
      <c r="F11" t="inlineStr">
        <is>
          <t>stepName11</t>
        </is>
      </c>
    </row>
    <row r="12">
      <c r="A12" t="inlineStr">
        <is>
          <t>Sombra</t>
        </is>
      </c>
      <c r="B12" s="2" t="inlineStr">
        <is>
          <t>f</t>
        </is>
      </c>
      <c r="C12" s="2" t="inlineStr">
        <is>
          <t>s</t>
        </is>
      </c>
      <c r="D12" t="inlineStr">
        <is>
          <t>影</t>
        </is>
      </c>
      <c r="E12" t="inlineStr">
        <is>
          <t>Shadow</t>
        </is>
      </c>
      <c r="F12" t="inlineStr">
        <is>
          <t>stepName12</t>
        </is>
      </c>
    </row>
    <row r="13">
      <c r="A13" t="inlineStr">
        <is>
          <t>Lampejo</t>
        </is>
      </c>
      <c r="B13" s="2" t="inlineStr">
        <is>
          <t>m</t>
        </is>
      </c>
      <c r="C13" s="2" t="inlineStr">
        <is>
          <t>s</t>
        </is>
      </c>
      <c r="D13" t="inlineStr">
        <is>
          <t>闪</t>
        </is>
      </c>
      <c r="E13" t="inlineStr">
        <is>
          <t>Flash</t>
        </is>
      </c>
      <c r="F13" t="inlineStr">
        <is>
          <t>stepName13</t>
        </is>
      </c>
    </row>
    <row r="14">
      <c r="A14" t="inlineStr">
        <is>
          <t>Tornado</t>
        </is>
      </c>
      <c r="B14" s="2" t="inlineStr">
        <is>
          <t>m</t>
        </is>
      </c>
      <c r="C14" s="2" t="inlineStr">
        <is>
          <t>s</t>
        </is>
      </c>
      <c r="D14" t="inlineStr">
        <is>
          <t>卷</t>
        </is>
      </c>
      <c r="E14" t="inlineStr">
        <is>
          <t>Tornado</t>
        </is>
      </c>
      <c r="F14" t="inlineStr">
        <is>
          <t>stepName14</t>
        </is>
      </c>
    </row>
    <row r="15">
      <c r="A15" t="inlineStr">
        <is>
          <t>Escavação</t>
        </is>
      </c>
      <c r="B15" s="2" t="inlineStr">
        <is>
          <t>f</t>
        </is>
      </c>
      <c r="C15" s="2" t="inlineStr">
        <is>
          <t>s</t>
        </is>
      </c>
      <c r="D15" t="inlineStr">
        <is>
          <t>遁</t>
        </is>
      </c>
      <c r="E15" t="inlineStr">
        <is>
          <t>Burrow</t>
        </is>
      </c>
      <c r="F15" t="inlineStr">
        <is>
          <t>stepName15</t>
        </is>
      </c>
    </row>
    <row r="16">
      <c r="A16" t="inlineStr">
        <is>
          <t>Dança</t>
        </is>
      </c>
      <c r="B16" s="2" t="inlineStr">
        <is>
          <t>f</t>
        </is>
      </c>
      <c r="C16" s="2" t="inlineStr">
        <is>
          <t>s</t>
        </is>
      </c>
      <c r="D16" t="inlineStr">
        <is>
          <t>舞</t>
        </is>
      </c>
      <c r="E16" t="inlineStr">
        <is>
          <t>Dance</t>
        </is>
      </c>
      <c r="F16" t="inlineStr">
        <is>
          <t>stepName16</t>
        </is>
      </c>
    </row>
    <row r="17">
      <c r="A17" t="inlineStr">
        <is>
          <t>Arrancada</t>
        </is>
      </c>
      <c r="B17" s="2" t="inlineStr">
        <is>
          <t>f</t>
        </is>
      </c>
      <c r="C17" s="2" t="inlineStr">
        <is>
          <t>s</t>
        </is>
      </c>
      <c r="D17" t="inlineStr">
        <is>
          <t>突</t>
        </is>
      </c>
      <c r="E17" t="inlineStr">
        <is>
          <t>Dash</t>
        </is>
      </c>
      <c r="F17" t="inlineStr">
        <is>
          <t>stepName2</t>
        </is>
      </c>
    </row>
    <row r="18">
      <c r="A18" t="inlineStr">
        <is>
          <t>Deriva</t>
        </is>
      </c>
      <c r="B18" s="2" t="inlineStr">
        <is>
          <t>f</t>
        </is>
      </c>
      <c r="C18" s="2" t="inlineStr">
        <is>
          <t>s</t>
        </is>
      </c>
      <c r="D18" t="inlineStr">
        <is>
          <t>御术</t>
        </is>
      </c>
      <c r="E18" t="inlineStr">
        <is>
          <t>Drift</t>
        </is>
      </c>
      <c r="F18" t="inlineStr">
        <is>
          <t>stepName3</t>
        </is>
      </c>
    </row>
    <row r="19">
      <c r="A19" t="inlineStr">
        <is>
          <t>Carga</t>
        </is>
      </c>
      <c r="B19" s="2" t="inlineStr">
        <is>
          <t>f</t>
        </is>
      </c>
      <c r="C19" s="2" t="inlineStr">
        <is>
          <t>s</t>
        </is>
      </c>
      <c r="D19" t="inlineStr">
        <is>
          <t>冲</t>
        </is>
      </c>
      <c r="E19" t="inlineStr">
        <is>
          <t>Charge</t>
        </is>
      </c>
      <c r="F19" t="inlineStr">
        <is>
          <t>stepName4</t>
        </is>
      </c>
    </row>
    <row r="20">
      <c r="A20" t="inlineStr">
        <is>
          <t>Passo</t>
        </is>
      </c>
      <c r="B20" s="2" t="inlineStr">
        <is>
          <t>m</t>
        </is>
      </c>
      <c r="C20" s="2" t="inlineStr">
        <is>
          <t>s</t>
        </is>
      </c>
      <c r="D20" t="inlineStr">
        <is>
          <t>步</t>
        </is>
      </c>
      <c r="E20" t="inlineStr">
        <is>
          <t>Step</t>
        </is>
      </c>
      <c r="F20" t="inlineStr">
        <is>
          <t>stepName5</t>
        </is>
      </c>
    </row>
    <row r="21">
      <c r="A21" t="inlineStr">
        <is>
          <t>Furtividade</t>
        </is>
      </c>
      <c r="B21" s="2" t="inlineStr">
        <is>
          <t>f</t>
        </is>
      </c>
      <c r="C21" s="2" t="inlineStr">
        <is>
          <t>s</t>
        </is>
      </c>
      <c r="D21" t="inlineStr">
        <is>
          <t>隐</t>
        </is>
      </c>
      <c r="E21" t="inlineStr">
        <is>
          <t>Stealth</t>
        </is>
      </c>
      <c r="F21" t="inlineStr">
        <is>
          <t>stepName6</t>
        </is>
      </c>
    </row>
    <row r="22">
      <c r="A22" t="inlineStr">
        <is>
          <t>Pétalas caídas</t>
        </is>
      </c>
      <c r="B22" s="2" t="inlineStr">
        <is>
          <t>f</t>
        </is>
      </c>
      <c r="C22" s="2" t="inlineStr">
        <is>
          <t>p</t>
        </is>
      </c>
      <c r="D22" t="inlineStr">
        <is>
          <t>落英</t>
        </is>
      </c>
      <c r="F22" t="inlineStr">
        <is>
          <t>skill_name_middle10010</t>
        </is>
      </c>
    </row>
    <row r="23">
      <c r="A23" t="inlineStr">
        <is>
          <t>Folhas de bordo caídas</t>
        </is>
      </c>
      <c r="B23" s="2" t="inlineStr">
        <is>
          <t>f</t>
        </is>
      </c>
      <c r="C23" s="2" t="inlineStr">
        <is>
          <t>p</t>
        </is>
      </c>
      <c r="D23" t="inlineStr">
        <is>
          <t>落枫</t>
        </is>
      </c>
      <c r="F23" t="inlineStr">
        <is>
          <t>skill_name_middle10020</t>
        </is>
      </c>
    </row>
    <row r="24">
      <c r="A24" t="inlineStr">
        <is>
          <t>Ganso Caído</t>
        </is>
      </c>
      <c r="B24" s="2" t="inlineStr">
        <is>
          <t>m</t>
        </is>
      </c>
      <c r="C24" s="2" t="inlineStr">
        <is>
          <t>s</t>
        </is>
      </c>
      <c r="D24" t="inlineStr">
        <is>
          <t>落雁</t>
        </is>
      </c>
      <c r="F24" t="inlineStr">
        <is>
          <t>skill_name_middle10030</t>
        </is>
      </c>
    </row>
    <row r="25">
      <c r="A25" t="inlineStr">
        <is>
          <t>Pôr do sol</t>
        </is>
      </c>
      <c r="B25" s="2" t="inlineStr">
        <is>
          <t>m</t>
        </is>
      </c>
      <c r="C25" s="2" t="inlineStr">
        <is>
          <t>s</t>
        </is>
      </c>
      <c r="D25" t="inlineStr">
        <is>
          <t>落霞</t>
        </is>
      </c>
      <c r="F25" t="inlineStr">
        <is>
          <t>skill_name_middle10040</t>
        </is>
      </c>
    </row>
    <row r="26">
      <c r="A26" t="inlineStr">
        <is>
          <t>Dispersão Distante</t>
        </is>
      </c>
      <c r="B26" s="2" t="inlineStr">
        <is>
          <t>f</t>
        </is>
      </c>
      <c r="C26" s="2" t="inlineStr">
        <is>
          <t>s</t>
        </is>
      </c>
      <c r="D26" t="inlineStr">
        <is>
          <t>开枝散叶</t>
        </is>
      </c>
      <c r="E26" t="inlineStr">
        <is>
          <t>Spread Afar</t>
        </is>
      </c>
      <c r="F26" t="inlineStr">
        <is>
          <t>skill_name_middle100721</t>
        </is>
      </c>
    </row>
    <row r="27">
      <c r="A27" t="inlineStr">
        <is>
          <t>Folhas e Pétalas</t>
        </is>
      </c>
      <c r="B27" s="2" t="inlineStr">
        <is>
          <t>f</t>
        </is>
      </c>
      <c r="C27" s="2" t="inlineStr">
        <is>
          <t>p</t>
        </is>
      </c>
      <c r="D27" t="inlineStr">
        <is>
          <t>摘叶飞花</t>
        </is>
      </c>
      <c r="E27" t="inlineStr">
        <is>
          <t>Leaves and Petals</t>
        </is>
      </c>
      <c r="F27" t="inlineStr">
        <is>
          <t>skill_name_middle1007212</t>
        </is>
      </c>
    </row>
    <row r="28">
      <c r="A28" t="inlineStr">
        <is>
          <t>Broto de Bambu</t>
        </is>
      </c>
      <c r="B28" s="2" t="inlineStr">
        <is>
          <t>m</t>
        </is>
      </c>
      <c r="C28" s="2" t="inlineStr">
        <is>
          <t>s</t>
        </is>
      </c>
      <c r="D28" t="inlineStr">
        <is>
          <t>春笋新芽</t>
        </is>
      </c>
      <c r="E28" t="inlineStr">
        <is>
          <t>Bamboo Shoot</t>
        </is>
      </c>
      <c r="F28" t="inlineStr">
        <is>
          <t>skill_name_middle100724</t>
        </is>
      </c>
    </row>
    <row r="29">
      <c r="A29" t="inlineStr">
        <is>
          <t>Proteção da Terra</t>
        </is>
      </c>
      <c r="B29" s="2" t="inlineStr">
        <is>
          <t>f</t>
        </is>
      </c>
      <c r="C29" s="2" t="inlineStr">
        <is>
          <t>s</t>
        </is>
      </c>
      <c r="D29" t="inlineStr">
        <is>
          <t>大地守护</t>
        </is>
      </c>
      <c r="E29" t="inlineStr">
        <is>
          <t>Earth's Guarding</t>
        </is>
      </c>
      <c r="F29" t="inlineStr">
        <is>
          <t>skill_name_middle100727</t>
        </is>
      </c>
    </row>
    <row r="30">
      <c r="A30" t="inlineStr">
        <is>
          <t>Vento furioso</t>
        </is>
      </c>
      <c r="B30" s="2" t="inlineStr">
        <is>
          <t>m</t>
        </is>
      </c>
      <c r="C30" s="2" t="inlineStr">
        <is>
          <t>s</t>
        </is>
      </c>
      <c r="D30" t="inlineStr">
        <is>
          <t>怒风</t>
        </is>
      </c>
      <c r="F30" t="inlineStr">
        <is>
          <t>skill_name_middle10120</t>
        </is>
      </c>
    </row>
    <row r="31">
      <c r="A31" t="inlineStr">
        <is>
          <t>Tempestade</t>
        </is>
      </c>
      <c r="B31" s="2" t="inlineStr">
        <is>
          <t>f</t>
        </is>
      </c>
      <c r="C31" s="2" t="inlineStr">
        <is>
          <t>s</t>
        </is>
      </c>
      <c r="D31" t="inlineStr">
        <is>
          <t>暴风</t>
        </is>
      </c>
      <c r="F31" t="inlineStr">
        <is>
          <t>skill_name_middle10130</t>
        </is>
      </c>
    </row>
    <row r="32">
      <c r="A32" t="inlineStr">
        <is>
          <t>Seis vezes</t>
        </is>
      </c>
      <c r="B32" s="2" t="inlineStr">
        <is>
          <t>m</t>
        </is>
      </c>
      <c r="C32" s="2" t="inlineStr">
        <is>
          <t>p</t>
        </is>
      </c>
      <c r="D32" t="inlineStr">
        <is>
          <t>六迴</t>
        </is>
      </c>
      <c r="F32" t="inlineStr">
        <is>
          <t>skill_name_middle10210</t>
        </is>
      </c>
    </row>
    <row r="33">
      <c r="A33" t="inlineStr">
        <is>
          <t>Oito vezes</t>
        </is>
      </c>
      <c r="B33" s="2" t="inlineStr">
        <is>
          <t>m</t>
        </is>
      </c>
      <c r="C33" s="2" t="inlineStr">
        <is>
          <t>s</t>
        </is>
      </c>
      <c r="D33" t="inlineStr">
        <is>
          <t>八迴</t>
        </is>
      </c>
      <c r="F33" t="inlineStr">
        <is>
          <t>skill_name_middle10220</t>
        </is>
      </c>
    </row>
    <row r="34">
      <c r="A34" t="inlineStr">
        <is>
          <t>Dez vezes</t>
        </is>
      </c>
      <c r="B34" s="2" t="inlineStr">
        <is>
          <t>f</t>
        </is>
      </c>
      <c r="C34" s="2" t="inlineStr">
        <is>
          <t>s</t>
        </is>
      </c>
      <c r="D34" t="inlineStr">
        <is>
          <t>十迴</t>
        </is>
      </c>
      <c r="F34" t="inlineStr">
        <is>
          <t>skill_name_middle10230</t>
        </is>
      </c>
    </row>
    <row r="35">
      <c r="A35" t="inlineStr">
        <is>
          <t>Dragão de Fogo</t>
        </is>
      </c>
      <c r="B35" s="2" t="inlineStr">
        <is>
          <t>m</t>
        </is>
      </c>
      <c r="C35" s="2" t="inlineStr">
        <is>
          <t>s</t>
        </is>
      </c>
      <c r="D35" t="inlineStr">
        <is>
          <t>火龙</t>
        </is>
      </c>
      <c r="F35" t="inlineStr">
        <is>
          <t>skill_name_middle10310</t>
        </is>
      </c>
    </row>
    <row r="36">
      <c r="A36" t="inlineStr">
        <is>
          <t>Dragão de Chamas</t>
        </is>
      </c>
      <c r="B36" s="2" t="inlineStr">
        <is>
          <t>m</t>
        </is>
      </c>
      <c r="C36" s="2" t="inlineStr">
        <is>
          <t>s</t>
        </is>
      </c>
      <c r="D36" t="inlineStr">
        <is>
          <t>焰龙</t>
        </is>
      </c>
      <c r="F36" t="inlineStr">
        <is>
          <t>skill_name_middle10320</t>
        </is>
      </c>
    </row>
    <row r="37">
      <c r="A37" t="inlineStr">
        <is>
          <t>Dragão da Vela</t>
        </is>
      </c>
      <c r="B37" s="2" t="inlineStr">
        <is>
          <t>m</t>
        </is>
      </c>
      <c r="C37" s="2" t="inlineStr">
        <is>
          <t>s</t>
        </is>
      </c>
      <c r="D37" t="inlineStr">
        <is>
          <t>烛龙</t>
        </is>
      </c>
      <c r="F37" t="inlineStr">
        <is>
          <t>skill_name_middle10330</t>
        </is>
      </c>
    </row>
    <row r="38">
      <c r="A38" t="inlineStr">
        <is>
          <t>Dragão de Gelo</t>
        </is>
      </c>
      <c r="B38" s="2" t="inlineStr">
        <is>
          <t>m</t>
        </is>
      </c>
      <c r="C38" s="2" t="inlineStr">
        <is>
          <t>s</t>
        </is>
      </c>
      <c r="D38" t="inlineStr">
        <is>
          <t>冰龙</t>
        </is>
      </c>
      <c r="F38" t="inlineStr">
        <is>
          <t>skill_name_middle10410</t>
        </is>
      </c>
    </row>
    <row r="39">
      <c r="A39" t="inlineStr">
        <is>
          <t>Dragão Gélido</t>
        </is>
      </c>
      <c r="B39" s="2" t="inlineStr">
        <is>
          <t>m</t>
        </is>
      </c>
      <c r="C39" s="2" t="inlineStr">
        <is>
          <t>s</t>
        </is>
      </c>
      <c r="D39" t="inlineStr">
        <is>
          <t>凛龙</t>
        </is>
      </c>
      <c r="F39" t="inlineStr">
        <is>
          <t>skill_name_middle10420</t>
        </is>
      </c>
    </row>
    <row r="40">
      <c r="A40" t="inlineStr">
        <is>
          <t>Dragão Frio</t>
        </is>
      </c>
      <c r="B40" s="2" t="inlineStr">
        <is>
          <t>m</t>
        </is>
      </c>
      <c r="C40" s="2" t="inlineStr">
        <is>
          <t>s</t>
        </is>
      </c>
      <c r="D40" t="inlineStr">
        <is>
          <t>寒龙</t>
        </is>
      </c>
      <c r="F40" t="inlineStr">
        <is>
          <t>skill_name_middle10430</t>
        </is>
      </c>
    </row>
    <row r="41">
      <c r="A41" t="inlineStr">
        <is>
          <t>Dragão da Geada</t>
        </is>
      </c>
      <c r="B41" s="2" t="inlineStr">
        <is>
          <t>m</t>
        </is>
      </c>
      <c r="C41" s="2" t="inlineStr">
        <is>
          <t>s</t>
        </is>
      </c>
      <c r="D41" t="inlineStr">
        <is>
          <t>霜龙</t>
        </is>
      </c>
      <c r="F41" t="inlineStr">
        <is>
          <t>skill_name_middle10440</t>
        </is>
      </c>
    </row>
    <row r="42">
      <c r="A42" t="inlineStr">
        <is>
          <t>Dragão Relâmpago</t>
        </is>
      </c>
      <c r="B42" s="2" t="inlineStr">
        <is>
          <t>m</t>
        </is>
      </c>
      <c r="C42" s="2" t="inlineStr">
        <is>
          <t>s</t>
        </is>
      </c>
      <c r="D42" t="inlineStr">
        <is>
          <t>闪龙</t>
        </is>
      </c>
      <c r="F42" t="inlineStr">
        <is>
          <t>skill_name_middle10510</t>
        </is>
      </c>
    </row>
    <row r="43">
      <c r="A43" t="inlineStr">
        <is>
          <t>Dragão controlador</t>
        </is>
      </c>
      <c r="B43" s="2" t="inlineStr">
        <is>
          <t>m</t>
        </is>
      </c>
      <c r="C43" s="2" t="inlineStr">
        <is>
          <t>s</t>
        </is>
      </c>
      <c r="D43" t="inlineStr">
        <is>
          <t>掣龙</t>
        </is>
      </c>
      <c r="F43" t="inlineStr">
        <is>
          <t>skill_name_middle10520</t>
        </is>
      </c>
    </row>
    <row r="44">
      <c r="A44" t="inlineStr">
        <is>
          <t>Dragão do Trovão</t>
        </is>
      </c>
      <c r="B44" s="2" t="inlineStr">
        <is>
          <t>m</t>
        </is>
      </c>
      <c r="C44" s="2" t="inlineStr">
        <is>
          <t>s</t>
        </is>
      </c>
      <c r="D44" t="inlineStr">
        <is>
          <t>雷龙</t>
        </is>
      </c>
      <c r="F44" t="inlineStr">
        <is>
          <t>skill_name_middle10530</t>
        </is>
      </c>
    </row>
    <row r="45">
      <c r="A45" t="inlineStr">
        <is>
          <t>Dragão Veloz</t>
        </is>
      </c>
      <c r="B45" s="2" t="inlineStr">
        <is>
          <t>m</t>
        </is>
      </c>
      <c r="C45" s="2" t="inlineStr">
        <is>
          <t>s</t>
        </is>
      </c>
      <c r="D45" t="inlineStr">
        <is>
          <t>迅龙</t>
        </is>
      </c>
      <c r="F45" t="inlineStr">
        <is>
          <t>skill_name_middle10540</t>
        </is>
      </c>
    </row>
    <row r="46">
      <c r="A46" t="inlineStr">
        <is>
          <t>Dragão Instantâneo</t>
        </is>
      </c>
      <c r="B46" s="2" t="inlineStr">
        <is>
          <t>m</t>
        </is>
      </c>
      <c r="C46" s="2" t="inlineStr">
        <is>
          <t>s</t>
        </is>
      </c>
      <c r="D46" t="inlineStr">
        <is>
          <t>瞬龙</t>
        </is>
      </c>
      <c r="F46" t="inlineStr">
        <is>
          <t>skill_name_middle10550</t>
        </is>
      </c>
    </row>
    <row r="47">
      <c r="A47" t="inlineStr">
        <is>
          <t>Dragão em Espiral</t>
        </is>
      </c>
      <c r="B47" s="2" t="inlineStr">
        <is>
          <t>m</t>
        </is>
      </c>
      <c r="C47" s="2" t="inlineStr">
        <is>
          <t>s</t>
        </is>
      </c>
      <c r="D47" t="inlineStr">
        <is>
          <t>卷龙</t>
        </is>
      </c>
      <c r="F47" t="inlineStr">
        <is>
          <t>skill_name_middle10610</t>
        </is>
      </c>
    </row>
    <row r="48">
      <c r="A48" t="inlineStr">
        <is>
          <t>Dragão Galopante</t>
        </is>
      </c>
      <c r="B48" s="2" t="inlineStr">
        <is>
          <t>m</t>
        </is>
      </c>
      <c r="C48" s="2" t="inlineStr">
        <is>
          <t>s</t>
        </is>
      </c>
      <c r="D48" t="inlineStr">
        <is>
          <t>驰龙</t>
        </is>
      </c>
      <c r="F48" t="inlineStr">
        <is>
          <t>skill_name_middle10620</t>
        </is>
      </c>
    </row>
    <row r="49">
      <c r="A49" t="inlineStr">
        <is>
          <t>Dragão de Pedra</t>
        </is>
      </c>
      <c r="B49" s="2" t="inlineStr">
        <is>
          <t>m</t>
        </is>
      </c>
      <c r="C49" s="2" t="inlineStr">
        <is>
          <t>s</t>
        </is>
      </c>
      <c r="D49" t="inlineStr">
        <is>
          <t>石龙</t>
        </is>
      </c>
      <c r="F49" t="inlineStr">
        <is>
          <t>skill_name_middle10710</t>
        </is>
      </c>
    </row>
    <row r="50">
      <c r="A50" t="inlineStr">
        <is>
          <t>Dragão de Rocha</t>
        </is>
      </c>
      <c r="B50" s="2" t="inlineStr">
        <is>
          <t>m</t>
        </is>
      </c>
      <c r="C50" s="2" t="inlineStr">
        <is>
          <t>s</t>
        </is>
      </c>
      <c r="D50" t="inlineStr">
        <is>
          <t>岩龙</t>
        </is>
      </c>
      <c r="F50" t="inlineStr">
        <is>
          <t>skill_name_middle10720</t>
        </is>
      </c>
    </row>
    <row r="51">
      <c r="A51" t="inlineStr">
        <is>
          <t>Dragão da Terra</t>
        </is>
      </c>
      <c r="B51" s="2" t="inlineStr">
        <is>
          <t>m</t>
        </is>
      </c>
      <c r="C51" s="2" t="inlineStr">
        <is>
          <t>s</t>
        </is>
      </c>
      <c r="D51" t="inlineStr">
        <is>
          <t>地龙</t>
        </is>
      </c>
      <c r="F51" t="inlineStr">
        <is>
          <t>skill_name_middle10730</t>
        </is>
      </c>
    </row>
    <row r="52">
      <c r="A52" t="inlineStr">
        <is>
          <t>Dragão Sísmico</t>
        </is>
      </c>
      <c r="B52" s="2" t="inlineStr">
        <is>
          <t>m</t>
        </is>
      </c>
      <c r="C52" s="2" t="inlineStr">
        <is>
          <t>s</t>
        </is>
      </c>
      <c r="D52" t="inlineStr">
        <is>
          <t>震龙</t>
        </is>
      </c>
      <c r="F52" t="inlineStr">
        <is>
          <t>skill_name_middle10740</t>
        </is>
      </c>
    </row>
    <row r="53">
      <c r="A53" t="inlineStr">
        <is>
          <t>Dragão de Madeira</t>
        </is>
      </c>
      <c r="B53" s="2" t="inlineStr">
        <is>
          <t>m</t>
        </is>
      </c>
      <c r="C53" s="2" t="inlineStr">
        <is>
          <t>s</t>
        </is>
      </c>
      <c r="D53" t="inlineStr">
        <is>
          <t>木龙</t>
        </is>
      </c>
      <c r="F53" t="inlineStr">
        <is>
          <t>skill_name_middle10810</t>
        </is>
      </c>
    </row>
    <row r="54">
      <c r="A54" t="inlineStr">
        <is>
          <t>Dragão de Vinha</t>
        </is>
      </c>
      <c r="B54" s="2" t="inlineStr">
        <is>
          <t>m</t>
        </is>
      </c>
      <c r="C54" s="2" t="inlineStr">
        <is>
          <t>s</t>
        </is>
      </c>
      <c r="D54" t="inlineStr">
        <is>
          <t>藤龙</t>
        </is>
      </c>
      <c r="F54" t="inlineStr">
        <is>
          <t>skill_name_middle10820</t>
        </is>
      </c>
    </row>
    <row r="55">
      <c r="A55" t="inlineStr">
        <is>
          <t>Dragão Espinhoso</t>
        </is>
      </c>
      <c r="B55" s="2" t="inlineStr">
        <is>
          <t>m</t>
        </is>
      </c>
      <c r="C55" s="2" t="inlineStr">
        <is>
          <t>s</t>
        </is>
      </c>
      <c r="D55" t="inlineStr">
        <is>
          <t>棘龙</t>
        </is>
      </c>
      <c r="F55" t="inlineStr">
        <is>
          <t>skill_name_middle10830</t>
        </is>
      </c>
    </row>
    <row r="56">
      <c r="A56" t="inlineStr">
        <is>
          <t>Quebrando a névoa</t>
        </is>
      </c>
      <c r="B56" s="2" t="inlineStr">
        <is>
          <t>m</t>
        </is>
      </c>
      <c r="C56" s="2" t="inlineStr">
        <is>
          <t>s</t>
        </is>
      </c>
      <c r="D56" t="inlineStr">
        <is>
          <t>破雾</t>
        </is>
      </c>
      <c r="F56" t="inlineStr">
        <is>
          <t>skill_name_middle10910</t>
        </is>
      </c>
    </row>
    <row r="57">
      <c r="A57" t="inlineStr">
        <is>
          <t>Rasgando o ar</t>
        </is>
      </c>
      <c r="B57" s="2" t="inlineStr">
        <is>
          <t>m</t>
        </is>
      </c>
      <c r="C57" s="2" t="inlineStr">
        <is>
          <t>s</t>
        </is>
      </c>
      <c r="D57" t="inlineStr">
        <is>
          <t>破空</t>
        </is>
      </c>
      <c r="F57" t="inlineStr">
        <is>
          <t>skill_name_middle10920</t>
        </is>
      </c>
    </row>
    <row r="58">
      <c r="A58" t="inlineStr">
        <is>
          <t>Quebrar os céus</t>
        </is>
      </c>
      <c r="B58" s="2" t="inlineStr">
        <is>
          <t>m</t>
        </is>
      </c>
      <c r="C58" s="2" t="inlineStr">
        <is>
          <t>s</t>
        </is>
      </c>
      <c r="D58" t="inlineStr">
        <is>
          <t>破天</t>
        </is>
      </c>
      <c r="F58" t="inlineStr">
        <is>
          <t>skill_name_middle10930</t>
        </is>
      </c>
    </row>
    <row r="59">
      <c r="A59" t="inlineStr">
        <is>
          <t>Quebrando limites</t>
        </is>
      </c>
      <c r="B59" s="2" t="inlineStr">
        <is>
          <t>m</t>
        </is>
      </c>
      <c r="C59" s="2" t="inlineStr">
        <is>
          <t>s</t>
        </is>
      </c>
      <c r="D59" t="inlineStr">
        <is>
          <t>破界</t>
        </is>
      </c>
      <c r="F59" t="inlineStr">
        <is>
          <t>skill_name_middle10940</t>
        </is>
      </c>
    </row>
    <row r="60">
      <c r="A60" t="inlineStr">
        <is>
          <t>Vento de Ossos</t>
        </is>
      </c>
      <c r="B60" s="2" t="inlineStr">
        <is>
          <t>m</t>
        </is>
      </c>
      <c r="C60" s="2" t="inlineStr">
        <is>
          <t>s</t>
        </is>
      </c>
      <c r="D60" t="inlineStr">
        <is>
          <t>蚀骨阴风</t>
        </is>
      </c>
      <c r="E60" t="inlineStr">
        <is>
          <t>Bone Etching Wind</t>
        </is>
      </c>
      <c r="F60" t="inlineStr">
        <is>
          <t>skill_name_middle110021</t>
        </is>
      </c>
    </row>
    <row r="61">
      <c r="A61" t="inlineStr">
        <is>
          <t>Queda de Pedras</t>
        </is>
      </c>
      <c r="B61" s="2" t="inlineStr">
        <is>
          <t>f</t>
        </is>
      </c>
      <c r="C61" s="2" t="inlineStr">
        <is>
          <t>s</t>
        </is>
      </c>
      <c r="D61" t="inlineStr">
        <is>
          <t>落石击</t>
        </is>
      </c>
      <c r="E61" t="inlineStr">
        <is>
          <t>Stone Fall</t>
        </is>
      </c>
      <c r="F61" t="inlineStr">
        <is>
          <t>skill_name_middle110022</t>
        </is>
      </c>
    </row>
    <row r="62">
      <c r="A62" t="inlineStr">
        <is>
          <t>Chama de Raposa</t>
        </is>
      </c>
      <c r="B62" s="2" t="inlineStr">
        <is>
          <t>f</t>
        </is>
      </c>
      <c r="C62" s="2" t="inlineStr">
        <is>
          <t>s</t>
        </is>
      </c>
      <c r="D62" t="inlineStr">
        <is>
          <t>狐灵青炎</t>
        </is>
      </c>
      <c r="E62" t="inlineStr">
        <is>
          <t>Fox Flame</t>
        </is>
      </c>
      <c r="F62" t="inlineStr">
        <is>
          <t>skill_name_middle110031</t>
        </is>
      </c>
    </row>
    <row r="63">
      <c r="A63" t="inlineStr">
        <is>
          <t>Encanto</t>
        </is>
      </c>
      <c r="B63" s="2" t="inlineStr">
        <is>
          <t>m</t>
        </is>
      </c>
      <c r="C63" s="2" t="inlineStr">
        <is>
          <t>s</t>
        </is>
      </c>
      <c r="D63" t="inlineStr">
        <is>
          <t>魅惑妖术</t>
        </is>
      </c>
      <c r="E63" t="inlineStr">
        <is>
          <t>Enchant</t>
        </is>
      </c>
      <c r="F63" t="inlineStr">
        <is>
          <t>skill_name_middle110032</t>
        </is>
      </c>
    </row>
    <row r="64">
      <c r="A64" t="inlineStr">
        <is>
          <t>Necromancia de Raposa</t>
        </is>
      </c>
      <c r="B64" s="2" t="inlineStr">
        <is>
          <t>f</t>
        </is>
      </c>
      <c r="C64" s="2" t="inlineStr">
        <is>
          <t>s</t>
        </is>
      </c>
      <c r="D64" t="inlineStr">
        <is>
          <t>万狐通灵</t>
        </is>
      </c>
      <c r="E64" t="inlineStr">
        <is>
          <t>Fox Necromancy</t>
        </is>
      </c>
      <c r="F64" t="inlineStr">
        <is>
          <t>skill_name_middle110033</t>
        </is>
      </c>
    </row>
    <row r="65">
      <c r="A65" t="inlineStr">
        <is>
          <t>Beijo Maligno</t>
        </is>
      </c>
      <c r="B65" s="2" t="inlineStr">
        <is>
          <t>m</t>
        </is>
      </c>
      <c r="C65" s="2" t="inlineStr">
        <is>
          <t>s</t>
        </is>
      </c>
      <c r="D65" t="inlineStr">
        <is>
          <t>致命飞吻</t>
        </is>
      </c>
      <c r="E65" t="inlineStr">
        <is>
          <t>Evil Kiss</t>
        </is>
      </c>
      <c r="F65" t="inlineStr">
        <is>
          <t>skill_name_middle110036</t>
        </is>
      </c>
    </row>
    <row r="66">
      <c r="A66" t="inlineStr">
        <is>
          <t>Domínio de Surto de Relâmpago</t>
        </is>
      </c>
      <c r="B66" s="2" t="inlineStr">
        <is>
          <t>m</t>
        </is>
      </c>
      <c r="C66" s="2" t="inlineStr">
        <is>
          <t>s</t>
        </is>
      </c>
      <c r="D66" t="inlineStr">
        <is>
          <t>雷涌领域</t>
        </is>
      </c>
      <c r="E66" t="inlineStr">
        <is>
          <t>Lightning Surge Field</t>
        </is>
      </c>
      <c r="F66" t="inlineStr">
        <is>
          <t>skill_name_middle110041</t>
        </is>
      </c>
    </row>
    <row r="67">
      <c r="A67" t="inlineStr">
        <is>
          <t>Bola de Relâmpago</t>
        </is>
      </c>
      <c r="B67" s="2" t="inlineStr">
        <is>
          <t>f</t>
        </is>
      </c>
      <c r="C67" s="2" t="inlineStr">
        <is>
          <t>s</t>
        </is>
      </c>
      <c r="D67" t="inlineStr">
        <is>
          <t>球形闪电</t>
        </is>
      </c>
      <c r="E67" t="inlineStr">
        <is>
          <t>Ball Lightning</t>
        </is>
      </c>
      <c r="F67" t="inlineStr">
        <is>
          <t>skill_name_middle110042</t>
        </is>
      </c>
    </row>
    <row r="68">
      <c r="A68" t="inlineStr">
        <is>
          <t>Nuvem Opressiva</t>
        </is>
      </c>
      <c r="B68" s="2" t="inlineStr">
        <is>
          <t>m</t>
        </is>
      </c>
      <c r="C68" s="2" t="inlineStr">
        <is>
          <t>s</t>
        </is>
      </c>
      <c r="D68" t="inlineStr">
        <is>
          <t>雷云聚顶</t>
        </is>
      </c>
      <c r="E68" t="inlineStr">
        <is>
          <t>Overwhelming Cloud</t>
        </is>
      </c>
      <c r="F68" t="inlineStr">
        <is>
          <t>skill_name_middle110043</t>
        </is>
      </c>
    </row>
    <row r="69">
      <c r="A69" t="inlineStr">
        <is>
          <t>Caminhos de Sangue</t>
        </is>
      </c>
      <c r="B69" s="2" t="inlineStr">
        <is>
          <t>m</t>
        </is>
      </c>
      <c r="C69" s="2" t="inlineStr">
        <is>
          <t>p</t>
        </is>
      </c>
      <c r="D69" t="inlineStr">
        <is>
          <t>血影迷踪</t>
        </is>
      </c>
      <c r="E69" t="inlineStr">
        <is>
          <t>Blood Shadow Tracks</t>
        </is>
      </c>
      <c r="F69" t="inlineStr">
        <is>
          <t>skill_name_middle110062</t>
        </is>
      </c>
    </row>
    <row r="70">
      <c r="A70" t="inlineStr">
        <is>
          <t>Lápide Mortal</t>
        </is>
      </c>
      <c r="B70" s="2" t="inlineStr">
        <is>
          <t>f</t>
        </is>
      </c>
      <c r="C70" s="2" t="inlineStr">
        <is>
          <t>s</t>
        </is>
      </c>
      <c r="D70" t="inlineStr">
        <is>
          <t>送葬墓碑</t>
        </is>
      </c>
      <c r="E70" t="inlineStr">
        <is>
          <t>Lethal Tombstone</t>
        </is>
      </c>
      <c r="F70" t="inlineStr">
        <is>
          <t>skill_name_middle110063</t>
        </is>
      </c>
    </row>
    <row r="71">
      <c r="A71" t="inlineStr">
        <is>
          <t>Garra da Sede de Sangue</t>
        </is>
      </c>
      <c r="B71" s="2" t="inlineStr">
        <is>
          <t>f</t>
        </is>
      </c>
      <c r="C71" s="2" t="inlineStr">
        <is>
          <t>s</t>
        </is>
      </c>
      <c r="D71" t="inlineStr">
        <is>
          <t>血煞爪</t>
        </is>
      </c>
      <c r="E71" t="inlineStr">
        <is>
          <t>Bloodlust Talon</t>
        </is>
      </c>
      <c r="F71" t="inlineStr">
        <is>
          <t>skill_name_middle110064</t>
        </is>
      </c>
    </row>
    <row r="72">
      <c r="A72" t="inlineStr">
        <is>
          <t>Marionetes</t>
        </is>
      </c>
      <c r="B72" s="2" t="inlineStr">
        <is>
          <t>m</t>
        </is>
      </c>
      <c r="C72" s="2" t="inlineStr">
        <is>
          <t>p</t>
        </is>
      </c>
      <c r="D72" t="inlineStr">
        <is>
          <t>御儡术</t>
        </is>
      </c>
      <c r="E72" t="inlineStr">
        <is>
          <t>Puppetry</t>
        </is>
      </c>
      <c r="F72" t="inlineStr">
        <is>
          <t>skill_name_middle110065</t>
        </is>
      </c>
    </row>
    <row r="73">
      <c r="A73" t="inlineStr">
        <is>
          <t>Espírito das Plantas</t>
        </is>
      </c>
      <c r="B73" s="2" t="inlineStr">
        <is>
          <t>m</t>
        </is>
      </c>
      <c r="C73" s="2" t="inlineStr">
        <is>
          <t>s</t>
        </is>
      </c>
      <c r="D73" t="inlineStr">
        <is>
          <t>草木灵生</t>
        </is>
      </c>
      <c r="E73" t="inlineStr">
        <is>
          <t>Flora Spirit</t>
        </is>
      </c>
      <c r="F73" t="inlineStr">
        <is>
          <t>skill_name_middle110077</t>
        </is>
      </c>
    </row>
    <row r="74">
      <c r="A74" t="inlineStr">
        <is>
          <t>Flora Animada</t>
        </is>
      </c>
      <c r="B74" s="2" t="inlineStr">
        <is>
          <t>f</t>
        </is>
      </c>
      <c r="C74" s="2" t="inlineStr">
        <is>
          <t>s</t>
        </is>
      </c>
      <c r="D74" t="inlineStr">
        <is>
          <t>草木成兵</t>
        </is>
      </c>
      <c r="E74" t="inlineStr">
        <is>
          <t>Animated Flora</t>
        </is>
      </c>
      <c r="F74" t="inlineStr">
        <is>
          <t>skill_name_middle110078</t>
        </is>
      </c>
    </row>
    <row r="75">
      <c r="A75" t="inlineStr">
        <is>
          <t>Estrelas Voadoras</t>
        </is>
      </c>
      <c r="B75" s="2" t="inlineStr">
        <is>
          <t>f</t>
        </is>
      </c>
      <c r="C75" s="2" t="inlineStr">
        <is>
          <t>p</t>
        </is>
      </c>
      <c r="D75" t="inlineStr">
        <is>
          <t>飞星</t>
        </is>
      </c>
      <c r="F75" t="inlineStr">
        <is>
          <t>skill_name_middle11010</t>
        </is>
      </c>
    </row>
    <row r="76">
      <c r="A76" t="inlineStr">
        <is>
          <t>Estrela Sísmica</t>
        </is>
      </c>
      <c r="B76" s="2" t="inlineStr">
        <is>
          <t>f</t>
        </is>
      </c>
      <c r="C76" s="2" t="inlineStr">
        <is>
          <t>s</t>
        </is>
      </c>
      <c r="D76" t="inlineStr">
        <is>
          <t>震星</t>
        </is>
      </c>
      <c r="F76" t="inlineStr">
        <is>
          <t>skill_name_middle11020</t>
        </is>
      </c>
    </row>
    <row r="77">
      <c r="A77" t="inlineStr">
        <is>
          <t>Estrela Rachada</t>
        </is>
      </c>
      <c r="B77" s="2" t="inlineStr">
        <is>
          <t>f</t>
        </is>
      </c>
      <c r="C77" s="2" t="inlineStr">
        <is>
          <t>s</t>
        </is>
      </c>
      <c r="D77" t="inlineStr">
        <is>
          <t>裂星</t>
        </is>
      </c>
      <c r="F77" t="inlineStr">
        <is>
          <t>skill_name_middle11030</t>
        </is>
      </c>
    </row>
    <row r="78">
      <c r="A78" t="inlineStr">
        <is>
          <t>Estrelas quebradas</t>
        </is>
      </c>
      <c r="B78" s="2" t="inlineStr">
        <is>
          <t>f</t>
        </is>
      </c>
      <c r="C78" s="2" t="inlineStr">
        <is>
          <t>p</t>
        </is>
      </c>
      <c r="D78" t="inlineStr">
        <is>
          <t>碎星</t>
        </is>
      </c>
      <c r="F78" t="inlineStr">
        <is>
          <t>skill_name_middle11040</t>
        </is>
      </c>
    </row>
    <row r="79">
      <c r="A79" t="inlineStr">
        <is>
          <t>Onda de choque</t>
        </is>
      </c>
      <c r="B79" s="2" t="inlineStr">
        <is>
          <t>f</t>
        </is>
      </c>
      <c r="C79" s="2" t="inlineStr">
        <is>
          <t>s</t>
        </is>
      </c>
      <c r="D79" t="inlineStr">
        <is>
          <t>震波</t>
        </is>
      </c>
      <c r="F79" t="inlineStr">
        <is>
          <t>skill_name_middle11110</t>
        </is>
      </c>
    </row>
    <row r="80">
      <c r="A80" t="inlineStr">
        <is>
          <t>Onda de movimento</t>
        </is>
      </c>
      <c r="B80" s="2" t="inlineStr">
        <is>
          <t>f</t>
        </is>
      </c>
      <c r="C80" s="2" t="inlineStr">
        <is>
          <t>s</t>
        </is>
      </c>
      <c r="D80" t="inlineStr">
        <is>
          <t>动波</t>
        </is>
      </c>
      <c r="F80" t="inlineStr">
        <is>
          <t>skill_name_middle11120</t>
        </is>
      </c>
    </row>
    <row r="81">
      <c r="A81" t="inlineStr">
        <is>
          <t>Ondas violentas</t>
        </is>
      </c>
      <c r="B81" s="2" t="inlineStr">
        <is>
          <t>f</t>
        </is>
      </c>
      <c r="C81" s="2" t="inlineStr">
        <is>
          <t>p</t>
        </is>
      </c>
      <c r="D81" t="inlineStr">
        <is>
          <t>烈波</t>
        </is>
      </c>
      <c r="F81" t="inlineStr">
        <is>
          <t>skill_name_middle11130</t>
        </is>
      </c>
    </row>
    <row r="82">
      <c r="A82" t="inlineStr">
        <is>
          <t>Torrente impetuosa</t>
        </is>
      </c>
      <c r="B82" s="2" t="inlineStr">
        <is>
          <t>m</t>
        </is>
      </c>
      <c r="C82" s="2" t="inlineStr">
        <is>
          <t>s</t>
        </is>
      </c>
      <c r="D82" t="inlineStr">
        <is>
          <t>怒涛</t>
        </is>
      </c>
      <c r="F82" t="inlineStr">
        <is>
          <t>skill_name_middle11140</t>
        </is>
      </c>
    </row>
    <row r="83">
      <c r="A83" t="inlineStr">
        <is>
          <t>Ondas tempestuosas</t>
        </is>
      </c>
      <c r="B83" s="2" t="inlineStr">
        <is>
          <t>f</t>
        </is>
      </c>
      <c r="C83" s="2" t="inlineStr">
        <is>
          <t>p</t>
        </is>
      </c>
      <c r="D83" t="inlineStr">
        <is>
          <t>惊涛</t>
        </is>
      </c>
      <c r="F83" t="inlineStr">
        <is>
          <t>skill_name_middle11150</t>
        </is>
      </c>
    </row>
    <row r="84">
      <c r="A84" t="inlineStr">
        <is>
          <t>Ondas do Ódio</t>
        </is>
      </c>
      <c r="B84" s="2" t="inlineStr">
        <is>
          <t>f</t>
        </is>
      </c>
      <c r="C84" s="2" t="inlineStr">
        <is>
          <t>p</t>
        </is>
      </c>
      <c r="D84" t="inlineStr">
        <is>
          <t>恨涛</t>
        </is>
      </c>
      <c r="F84" t="inlineStr">
        <is>
          <t>skill_name_middle11160</t>
        </is>
      </c>
    </row>
    <row r="85">
      <c r="A85" t="inlineStr">
        <is>
          <t>Ondas gigantes</t>
        </is>
      </c>
      <c r="B85" s="2" t="inlineStr">
        <is>
          <t>f</t>
        </is>
      </c>
      <c r="C85" s="2" t="inlineStr">
        <is>
          <t>p</t>
        </is>
      </c>
      <c r="D85" t="inlineStr">
        <is>
          <t>巨浪</t>
        </is>
      </c>
      <c r="F85" t="inlineStr">
        <is>
          <t>skill_name_middle11170</t>
        </is>
      </c>
    </row>
    <row r="86">
      <c r="A86" t="inlineStr">
        <is>
          <t>Tempestade descontrolada</t>
        </is>
      </c>
      <c r="B86" s="2" t="inlineStr">
        <is>
          <t>f</t>
        </is>
      </c>
      <c r="C86" s="2" t="inlineStr">
        <is>
          <t>s</t>
        </is>
      </c>
      <c r="D86" t="inlineStr">
        <is>
          <t>狂澜</t>
        </is>
      </c>
      <c r="F86" t="inlineStr">
        <is>
          <t>skill_name_middle11180</t>
        </is>
      </c>
    </row>
    <row r="87">
      <c r="A87" t="inlineStr">
        <is>
          <t>Submergir o mar</t>
        </is>
      </c>
      <c r="B87" s="2" t="inlineStr">
        <is>
          <t>m</t>
        </is>
      </c>
      <c r="C87" s="2" t="inlineStr">
        <is>
          <t>s</t>
        </is>
      </c>
      <c r="D87" t="inlineStr">
        <is>
          <t>覆海</t>
        </is>
      </c>
      <c r="F87" t="inlineStr">
        <is>
          <t>skill_name_middle11190</t>
        </is>
      </c>
    </row>
    <row r="88">
      <c r="A88" t="inlineStr">
        <is>
          <t>Inferno</t>
        </is>
      </c>
      <c r="B88" s="2" t="inlineStr">
        <is>
          <t>m</t>
        </is>
      </c>
      <c r="C88" s="2" t="inlineStr">
        <is>
          <t>s</t>
        </is>
      </c>
      <c r="D88" t="inlineStr">
        <is>
          <t>火狱</t>
        </is>
      </c>
      <c r="F88" t="inlineStr">
        <is>
          <t>skill_name_middle11210</t>
        </is>
      </c>
    </row>
    <row r="89">
      <c r="A89" t="inlineStr">
        <is>
          <t>Inferno de Sangue</t>
        </is>
      </c>
      <c r="B89" s="2" t="inlineStr">
        <is>
          <t>m</t>
        </is>
      </c>
      <c r="C89" s="2" t="inlineStr">
        <is>
          <t>s</t>
        </is>
      </c>
      <c r="D89" t="inlineStr">
        <is>
          <t>血狱</t>
        </is>
      </c>
      <c r="F89" t="inlineStr">
        <is>
          <t>skill_name_middle11220</t>
        </is>
      </c>
    </row>
    <row r="90">
      <c r="A90" t="inlineStr">
        <is>
          <t>Inferno do Submundo</t>
        </is>
      </c>
      <c r="B90" s="2" t="inlineStr">
        <is>
          <t>m</t>
        </is>
      </c>
      <c r="C90" s="2" t="inlineStr">
        <is>
          <t>s</t>
        </is>
      </c>
      <c r="D90" t="inlineStr">
        <is>
          <t>冥狱</t>
        </is>
      </c>
      <c r="F90" t="inlineStr">
        <is>
          <t>skill_name_middle11230</t>
        </is>
      </c>
    </row>
    <row r="91">
      <c r="A91" t="inlineStr">
        <is>
          <t>Inferno selvagem</t>
        </is>
      </c>
      <c r="B91" s="2" t="inlineStr">
        <is>
          <t>m</t>
        </is>
      </c>
      <c r="C91" s="2" t="inlineStr">
        <is>
          <t>s</t>
        </is>
      </c>
      <c r="D91" t="inlineStr">
        <is>
          <t>荒狱</t>
        </is>
      </c>
      <c r="F91" t="inlineStr">
        <is>
          <t>skill_name_middle11240</t>
        </is>
      </c>
    </row>
    <row r="92">
      <c r="A92" t="inlineStr">
        <is>
          <t>Inferno dos Demônios</t>
        </is>
      </c>
      <c r="B92" s="2" t="inlineStr">
        <is>
          <t>m</t>
        </is>
      </c>
      <c r="C92" s="2" t="inlineStr">
        <is>
          <t>s</t>
        </is>
      </c>
      <c r="D92" t="inlineStr">
        <is>
          <t>鬼狱</t>
        </is>
      </c>
      <c r="F92" t="inlineStr">
        <is>
          <t>skill_name_middle11250</t>
        </is>
      </c>
    </row>
    <row r="93">
      <c r="A93" t="inlineStr">
        <is>
          <t>Inferno Sombrio</t>
        </is>
      </c>
      <c r="B93" s="2" t="inlineStr">
        <is>
          <t>m</t>
        </is>
      </c>
      <c r="C93" s="2" t="inlineStr">
        <is>
          <t>s</t>
        </is>
      </c>
      <c r="D93" t="inlineStr">
        <is>
          <t>幽狱</t>
        </is>
      </c>
      <c r="F93" t="inlineStr">
        <is>
          <t>skill_name_middle11260</t>
        </is>
      </c>
    </row>
    <row r="94">
      <c r="A94" t="inlineStr">
        <is>
          <t>Nuvens flutuantes</t>
        </is>
      </c>
      <c r="B94" s="2" t="inlineStr">
        <is>
          <t>m</t>
        </is>
      </c>
      <c r="C94" s="2" t="inlineStr">
        <is>
          <t>p</t>
        </is>
      </c>
      <c r="D94" t="inlineStr">
        <is>
          <t>流云</t>
        </is>
      </c>
      <c r="F94" t="inlineStr">
        <is>
          <t>skill_name_middle11310</t>
        </is>
      </c>
    </row>
    <row r="95">
      <c r="A95" t="inlineStr">
        <is>
          <t>Nuvens voadoras</t>
        </is>
      </c>
      <c r="B95" s="2" t="inlineStr">
        <is>
          <t>m</t>
        </is>
      </c>
      <c r="C95" s="2" t="inlineStr">
        <is>
          <t>p</t>
        </is>
      </c>
      <c r="D95" t="inlineStr">
        <is>
          <t>飞云</t>
        </is>
      </c>
      <c r="F95" t="inlineStr">
        <is>
          <t>skill_name_middle11320</t>
        </is>
      </c>
    </row>
    <row r="96">
      <c r="A96" t="inlineStr">
        <is>
          <t>Nuvens velozes</t>
        </is>
      </c>
      <c r="B96" s="2" t="inlineStr">
        <is>
          <t>m</t>
        </is>
      </c>
      <c r="C96" s="2" t="inlineStr">
        <is>
          <t>p</t>
        </is>
      </c>
      <c r="D96" t="inlineStr">
        <is>
          <t>疾云</t>
        </is>
      </c>
      <c r="F96" t="inlineStr">
        <is>
          <t>skill_name_middle11330</t>
        </is>
      </c>
    </row>
    <row r="97">
      <c r="A97" t="inlineStr">
        <is>
          <t>Atravessando as nuvens</t>
        </is>
      </c>
      <c r="B97" s="2" t="inlineStr">
        <is>
          <t>m</t>
        </is>
      </c>
      <c r="C97" s="2" t="inlineStr">
        <is>
          <t>s</t>
        </is>
      </c>
      <c r="D97" t="inlineStr">
        <is>
          <t>冲云</t>
        </is>
      </c>
      <c r="F97" t="inlineStr">
        <is>
          <t>skill_name_middle11340</t>
        </is>
      </c>
    </row>
    <row r="98">
      <c r="A98" t="inlineStr">
        <is>
          <t>Luz do fogo</t>
        </is>
      </c>
      <c r="B98" s="2" t="inlineStr">
        <is>
          <t>m</t>
        </is>
      </c>
      <c r="C98" s="2" t="inlineStr">
        <is>
          <t>s</t>
        </is>
      </c>
      <c r="D98" t="inlineStr">
        <is>
          <t>火光</t>
        </is>
      </c>
      <c r="F98" t="inlineStr">
        <is>
          <t>skill_name_middle11411</t>
        </is>
      </c>
    </row>
    <row r="99">
      <c r="A99" t="inlineStr">
        <is>
          <t>Fogo do Éter</t>
        </is>
      </c>
      <c r="B99" s="2" t="inlineStr">
        <is>
          <t>m</t>
        </is>
      </c>
      <c r="C99" s="2" t="inlineStr">
        <is>
          <t>s</t>
        </is>
      </c>
      <c r="D99" t="inlineStr">
        <is>
          <t>玄火术</t>
        </is>
      </c>
      <c r="E99" t="inlineStr">
        <is>
          <t>Aether Fire</t>
        </is>
      </c>
      <c r="F99" t="inlineStr">
        <is>
          <t>skill_name_middle11412</t>
        </is>
      </c>
    </row>
    <row r="100">
      <c r="A100" t="inlineStr">
        <is>
          <t>Lâmina do Éter</t>
        </is>
      </c>
      <c r="B100" s="2" t="inlineStr">
        <is>
          <t>f</t>
        </is>
      </c>
      <c r="C100" s="2" t="inlineStr">
        <is>
          <t>s</t>
        </is>
      </c>
      <c r="D100" t="inlineStr">
        <is>
          <t>玄灵刀</t>
        </is>
      </c>
      <c r="E100" t="inlineStr">
        <is>
          <t>Aether Blade</t>
        </is>
      </c>
      <c r="F100" t="inlineStr">
        <is>
          <t>skill_name_middle11413</t>
        </is>
      </c>
    </row>
    <row r="101">
      <c r="A101" t="inlineStr">
        <is>
          <t>Ar Gélido</t>
        </is>
      </c>
      <c r="B101" s="2" t="inlineStr">
        <is>
          <t>m</t>
        </is>
      </c>
      <c r="C101" s="2" t="inlineStr">
        <is>
          <t>s</t>
        </is>
      </c>
      <c r="D101" t="inlineStr">
        <is>
          <t>冰气</t>
        </is>
      </c>
      <c r="F101" t="inlineStr">
        <is>
          <t>skill_name_middle11421</t>
        </is>
      </c>
    </row>
    <row r="102">
      <c r="A102" t="inlineStr">
        <is>
          <t>Água do Éter</t>
        </is>
      </c>
      <c r="B102" s="2" t="inlineStr">
        <is>
          <t>f</t>
        </is>
      </c>
      <c r="C102" s="2" t="inlineStr">
        <is>
          <t>s</t>
        </is>
      </c>
      <c r="D102" t="inlineStr">
        <is>
          <t>玄水术</t>
        </is>
      </c>
      <c r="E102" t="inlineStr">
        <is>
          <t>Aether Water</t>
        </is>
      </c>
      <c r="F102" t="inlineStr">
        <is>
          <t>skill_name_middle11422</t>
        </is>
      </c>
    </row>
    <row r="103">
      <c r="A103" t="inlineStr">
        <is>
          <t>Lança de Éter</t>
        </is>
      </c>
      <c r="B103" s="2" t="inlineStr">
        <is>
          <t>f</t>
        </is>
      </c>
      <c r="C103" s="2" t="inlineStr">
        <is>
          <t>s</t>
        </is>
      </c>
      <c r="D103" t="inlineStr">
        <is>
          <t>玄灵枪</t>
        </is>
      </c>
      <c r="E103" t="inlineStr">
        <is>
          <t>Aether Spear</t>
        </is>
      </c>
      <c r="F103" t="inlineStr">
        <is>
          <t>skill_name_middle11423</t>
        </is>
      </c>
    </row>
    <row r="104">
      <c r="A104" t="inlineStr">
        <is>
          <t>Luz do Relâmpago</t>
        </is>
      </c>
      <c r="B104" s="2" t="inlineStr">
        <is>
          <t>m</t>
        </is>
      </c>
      <c r="C104" s="2" t="inlineStr">
        <is>
          <t>s</t>
        </is>
      </c>
      <c r="D104" t="inlineStr">
        <is>
          <t>雷光</t>
        </is>
      </c>
      <c r="F104" t="inlineStr">
        <is>
          <t>skill_name_middle11431</t>
        </is>
      </c>
    </row>
    <row r="105">
      <c r="A105" t="inlineStr">
        <is>
          <t>Relâmpago do Éter</t>
        </is>
      </c>
      <c r="B105" s="2" t="inlineStr">
        <is>
          <t>m</t>
        </is>
      </c>
      <c r="C105" s="2" t="inlineStr">
        <is>
          <t>s</t>
        </is>
      </c>
      <c r="D105" t="inlineStr">
        <is>
          <t>玄雷术</t>
        </is>
      </c>
      <c r="E105" t="inlineStr">
        <is>
          <t>Aether Lightning</t>
        </is>
      </c>
      <c r="F105" t="inlineStr">
        <is>
          <t>skill_name_middle11432</t>
        </is>
      </c>
    </row>
    <row r="106">
      <c r="A106" t="inlineStr">
        <is>
          <t>Espada do Éter</t>
        </is>
      </c>
      <c r="B106" s="2" t="inlineStr">
        <is>
          <t>f</t>
        </is>
      </c>
      <c r="C106" s="2" t="inlineStr">
        <is>
          <t>s</t>
        </is>
      </c>
      <c r="D106" t="inlineStr">
        <is>
          <t>玄灵剑</t>
        </is>
      </c>
      <c r="E106" t="inlineStr">
        <is>
          <t>Aether Sword</t>
        </is>
      </c>
      <c r="F106" t="inlineStr">
        <is>
          <t>skill_name_middle11433</t>
        </is>
      </c>
    </row>
    <row r="107">
      <c r="A107" t="inlineStr">
        <is>
          <t>Vento Alado</t>
        </is>
      </c>
      <c r="B107" s="2" t="inlineStr">
        <is>
          <t>m</t>
        </is>
      </c>
      <c r="C107" s="2" t="inlineStr">
        <is>
          <t>s</t>
        </is>
      </c>
      <c r="D107" t="inlineStr">
        <is>
          <t>翔风</t>
        </is>
      </c>
      <c r="F107" t="inlineStr">
        <is>
          <t>skill_name_middle11441</t>
        </is>
      </c>
    </row>
    <row r="108">
      <c r="A108" t="inlineStr">
        <is>
          <t>Vento do Éter</t>
        </is>
      </c>
      <c r="B108" s="2" t="inlineStr">
        <is>
          <t>m</t>
        </is>
      </c>
      <c r="C108" s="2" t="inlineStr">
        <is>
          <t>s</t>
        </is>
      </c>
      <c r="D108" t="inlineStr">
        <is>
          <t>玄风术</t>
        </is>
      </c>
      <c r="E108" t="inlineStr">
        <is>
          <t>Aether Wind</t>
        </is>
      </c>
      <c r="F108" t="inlineStr">
        <is>
          <t>skill_name_middle11442</t>
        </is>
      </c>
    </row>
    <row r="109">
      <c r="A109" t="inlineStr">
        <is>
          <t>Punho do Éter</t>
        </is>
      </c>
      <c r="B109" s="2" t="inlineStr">
        <is>
          <t>m</t>
        </is>
      </c>
      <c r="C109" s="2" t="inlineStr">
        <is>
          <t>s</t>
        </is>
      </c>
      <c r="D109" t="inlineStr">
        <is>
          <t>玄天拳</t>
        </is>
      </c>
      <c r="E109" t="inlineStr">
        <is>
          <t>Aether Fist</t>
        </is>
      </c>
      <c r="F109" t="inlineStr">
        <is>
          <t>skill_name_middle11443</t>
        </is>
      </c>
    </row>
    <row r="110">
      <c r="A110" t="inlineStr">
        <is>
          <t>Terra voadora</t>
        </is>
      </c>
      <c r="B110" s="2" t="inlineStr">
        <is>
          <t>f</t>
        </is>
      </c>
      <c r="C110" s="2" t="inlineStr">
        <is>
          <t>s</t>
        </is>
      </c>
      <c r="D110" t="inlineStr">
        <is>
          <t>飞土</t>
        </is>
      </c>
      <c r="F110" t="inlineStr">
        <is>
          <t>skill_name_middle11451</t>
        </is>
      </c>
    </row>
    <row r="111">
      <c r="A111" t="inlineStr">
        <is>
          <t>Terra do Éter</t>
        </is>
      </c>
      <c r="B111" s="2" t="inlineStr">
        <is>
          <t>f</t>
        </is>
      </c>
      <c r="C111" s="2" t="inlineStr">
        <is>
          <t>s</t>
        </is>
      </c>
      <c r="D111" t="inlineStr">
        <is>
          <t>玄岩术</t>
        </is>
      </c>
      <c r="E111" t="inlineStr">
        <is>
          <t>Aether Earth</t>
        </is>
      </c>
      <c r="F111" t="inlineStr">
        <is>
          <t>skill_name_middle11452</t>
        </is>
      </c>
    </row>
    <row r="112">
      <c r="A112" t="inlineStr">
        <is>
          <t>Palma do Éter</t>
        </is>
      </c>
      <c r="B112" s="2" t="inlineStr">
        <is>
          <t>f</t>
        </is>
      </c>
      <c r="C112" s="2" t="inlineStr">
        <is>
          <t>s</t>
        </is>
      </c>
      <c r="D112" t="inlineStr">
        <is>
          <t>玄天掌</t>
        </is>
      </c>
      <c r="E112" t="inlineStr">
        <is>
          <t>Aether Palm</t>
        </is>
      </c>
      <c r="F112" t="inlineStr">
        <is>
          <t>skill_name_middle11453</t>
        </is>
      </c>
    </row>
    <row r="113">
      <c r="A113" t="inlineStr">
        <is>
          <t>Madeira espiritual</t>
        </is>
      </c>
      <c r="B113" s="2" t="inlineStr">
        <is>
          <t>f</t>
        </is>
      </c>
      <c r="C113" s="2" t="inlineStr">
        <is>
          <t>s</t>
        </is>
      </c>
      <c r="D113" t="inlineStr">
        <is>
          <t>灵木</t>
        </is>
      </c>
      <c r="F113" t="inlineStr">
        <is>
          <t>skill_name_middle11461</t>
        </is>
      </c>
    </row>
    <row r="114">
      <c r="A114" t="inlineStr">
        <is>
          <t>Madeira do Éter</t>
        </is>
      </c>
      <c r="B114" s="2" t="inlineStr">
        <is>
          <t>f</t>
        </is>
      </c>
      <c r="C114" s="2" t="inlineStr">
        <is>
          <t>s</t>
        </is>
      </c>
      <c r="D114" t="inlineStr">
        <is>
          <t>玄木术</t>
        </is>
      </c>
      <c r="E114" t="inlineStr">
        <is>
          <t>Aether Wood</t>
        </is>
      </c>
      <c r="F114" t="inlineStr">
        <is>
          <t>skill_name_middle11462</t>
        </is>
      </c>
    </row>
    <row r="115">
      <c r="A115" t="inlineStr">
        <is>
          <t>Dedo do Éter</t>
        </is>
      </c>
      <c r="B115" s="2" t="inlineStr">
        <is>
          <t>m</t>
        </is>
      </c>
      <c r="C115" s="2" t="inlineStr">
        <is>
          <t>s</t>
        </is>
      </c>
      <c r="D115" t="inlineStr">
        <is>
          <t>玄天指</t>
        </is>
      </c>
      <c r="E115" t="inlineStr">
        <is>
          <t>Aether Finger</t>
        </is>
      </c>
      <c r="F115" t="inlineStr">
        <is>
          <t>skill_name_middle11463</t>
        </is>
      </c>
    </row>
    <row r="116">
      <c r="A116" t="inlineStr">
        <is>
          <t>Energia da Espada 1</t>
        </is>
      </c>
      <c r="B116" s="2" t="inlineStr">
        <is>
          <t>f</t>
        </is>
      </c>
      <c r="C116" s="2" t="inlineStr">
        <is>
          <t>s</t>
        </is>
      </c>
      <c r="D116" t="inlineStr">
        <is>
          <t>剑气1</t>
        </is>
      </c>
      <c r="F116" t="inlineStr">
        <is>
          <t>skill_name_middle11511</t>
        </is>
      </c>
    </row>
    <row r="117">
      <c r="A117" t="inlineStr">
        <is>
          <t>Energia da Espada 2</t>
        </is>
      </c>
      <c r="B117" s="2" t="inlineStr">
        <is>
          <t>f</t>
        </is>
      </c>
      <c r="C117" s="2" t="inlineStr">
        <is>
          <t>s</t>
        </is>
      </c>
      <c r="D117" t="inlineStr">
        <is>
          <t>剑气2</t>
        </is>
      </c>
      <c r="F117" t="inlineStr">
        <is>
          <t>skill_name_middle11512</t>
        </is>
      </c>
    </row>
    <row r="118">
      <c r="A118" t="inlineStr">
        <is>
          <t>Energia da Espada 3</t>
        </is>
      </c>
      <c r="B118" s="2" t="inlineStr">
        <is>
          <t>f</t>
        </is>
      </c>
      <c r="C118" s="2" t="inlineStr">
        <is>
          <t>s</t>
        </is>
      </c>
      <c r="D118" t="inlineStr">
        <is>
          <t>剑气3</t>
        </is>
      </c>
      <c r="F118" t="inlineStr">
        <is>
          <t>skill_name_middle11513</t>
        </is>
      </c>
    </row>
    <row r="119">
      <c r="A119" t="inlineStr">
        <is>
          <t>Energia da Espada 4</t>
        </is>
      </c>
      <c r="B119" s="2" t="inlineStr">
        <is>
          <t>f</t>
        </is>
      </c>
      <c r="C119" s="2" t="inlineStr">
        <is>
          <t>s</t>
        </is>
      </c>
      <c r="D119" t="inlineStr">
        <is>
          <t>剑气4</t>
        </is>
      </c>
      <c r="F119" t="inlineStr">
        <is>
          <t>skill_name_middle11514</t>
        </is>
      </c>
    </row>
    <row r="120">
      <c r="A120" t="inlineStr">
        <is>
          <t>Energia da Espada 5</t>
        </is>
      </c>
      <c r="B120" s="2" t="inlineStr">
        <is>
          <t>f</t>
        </is>
      </c>
      <c r="C120" s="2" t="inlineStr">
        <is>
          <t>s</t>
        </is>
      </c>
      <c r="D120" t="inlineStr">
        <is>
          <t>剑气5</t>
        </is>
      </c>
      <c r="F120" t="inlineStr">
        <is>
          <t>skill_name_middle11515</t>
        </is>
      </c>
    </row>
    <row r="121">
      <c r="A121" t="inlineStr">
        <is>
          <t>Energia da Espada 6</t>
        </is>
      </c>
      <c r="B121" s="2" t="inlineStr">
        <is>
          <t>f</t>
        </is>
      </c>
      <c r="C121" s="2" t="inlineStr">
        <is>
          <t>s</t>
        </is>
      </c>
      <c r="D121" t="inlineStr">
        <is>
          <t>剑气6</t>
        </is>
      </c>
      <c r="F121" t="inlineStr">
        <is>
          <t>skill_name_middle11516</t>
        </is>
      </c>
    </row>
    <row r="122">
      <c r="A122" t="inlineStr">
        <is>
          <t>Coração da Espada 1</t>
        </is>
      </c>
      <c r="B122" s="2" t="inlineStr">
        <is>
          <t>m</t>
        </is>
      </c>
      <c r="C122" s="2" t="inlineStr">
        <is>
          <t>s</t>
        </is>
      </c>
      <c r="D122" t="inlineStr">
        <is>
          <t>剑心1</t>
        </is>
      </c>
      <c r="F122" t="inlineStr">
        <is>
          <t>skill_name_middle11611</t>
        </is>
      </c>
    </row>
    <row r="123">
      <c r="A123" t="inlineStr">
        <is>
          <t>Coração da Espada 2</t>
        </is>
      </c>
      <c r="B123" s="2" t="inlineStr">
        <is>
          <t>m</t>
        </is>
      </c>
      <c r="C123" s="2" t="inlineStr">
        <is>
          <t>s</t>
        </is>
      </c>
      <c r="D123" t="inlineStr">
        <is>
          <t>剑心2</t>
        </is>
      </c>
      <c r="F123" t="inlineStr">
        <is>
          <t>skill_name_middle11612</t>
        </is>
      </c>
    </row>
    <row r="124">
      <c r="A124" t="inlineStr">
        <is>
          <t>Coração da Espada 3</t>
        </is>
      </c>
      <c r="B124" s="2" t="inlineStr">
        <is>
          <t>m</t>
        </is>
      </c>
      <c r="C124" s="2" t="inlineStr">
        <is>
          <t>s</t>
        </is>
      </c>
      <c r="D124" t="inlineStr">
        <is>
          <t>剑心3</t>
        </is>
      </c>
      <c r="F124" t="inlineStr">
        <is>
          <t>skill_name_middle11613</t>
        </is>
      </c>
    </row>
    <row r="125">
      <c r="A125" t="inlineStr">
        <is>
          <t>Coração da Espada 4</t>
        </is>
      </c>
      <c r="B125" s="2" t="inlineStr">
        <is>
          <t>m</t>
        </is>
      </c>
      <c r="C125" s="2" t="inlineStr">
        <is>
          <t>s</t>
        </is>
      </c>
      <c r="D125" t="inlineStr">
        <is>
          <t>剑心4</t>
        </is>
      </c>
      <c r="F125" t="inlineStr">
        <is>
          <t>skill_name_middle11614</t>
        </is>
      </c>
    </row>
    <row r="126">
      <c r="A126" t="inlineStr">
        <is>
          <t>Coração da Espada 5</t>
        </is>
      </c>
      <c r="B126" s="2" t="inlineStr">
        <is>
          <t>m</t>
        </is>
      </c>
      <c r="C126" s="2" t="inlineStr">
        <is>
          <t>s</t>
        </is>
      </c>
      <c r="D126" t="inlineStr">
        <is>
          <t>剑心5</t>
        </is>
      </c>
      <c r="F126" t="inlineStr">
        <is>
          <t>skill_name_middle11615</t>
        </is>
      </c>
    </row>
    <row r="127">
      <c r="A127" t="inlineStr">
        <is>
          <t>Coração da Espada 6</t>
        </is>
      </c>
      <c r="B127" s="2" t="inlineStr">
        <is>
          <t>m</t>
        </is>
      </c>
      <c r="C127" s="2" t="inlineStr">
        <is>
          <t>s</t>
        </is>
      </c>
      <c r="D127" t="inlineStr">
        <is>
          <t>剑心6</t>
        </is>
      </c>
      <c r="F127" t="inlineStr">
        <is>
          <t>skill_name_middle11616</t>
        </is>
      </c>
    </row>
    <row r="128">
      <c r="A128" t="inlineStr">
        <is>
          <t>Espada do Qi</t>
        </is>
      </c>
      <c r="B128" s="2" t="inlineStr">
        <is>
          <t>f</t>
        </is>
      </c>
      <c r="C128" s="2" t="inlineStr">
        <is>
          <t>s</t>
        </is>
      </c>
      <c r="D128" t="inlineStr">
        <is>
          <t>御气剑</t>
        </is>
      </c>
      <c r="F128" t="inlineStr">
        <is>
          <t>skill_name_middle11711</t>
        </is>
      </c>
    </row>
    <row r="129">
      <c r="A129" t="inlineStr">
        <is>
          <t>Espada do Coração Livre</t>
        </is>
      </c>
      <c r="B129" s="2" t="inlineStr">
        <is>
          <t>f</t>
        </is>
      </c>
      <c r="C129" s="2" t="inlineStr">
        <is>
          <t>s</t>
        </is>
      </c>
      <c r="D129" t="inlineStr">
        <is>
          <t>逸心剑</t>
        </is>
      </c>
      <c r="F129" t="inlineStr">
        <is>
          <t>skill_name_middle11721</t>
        </is>
      </c>
    </row>
    <row r="130">
      <c r="A130" t="inlineStr">
        <is>
          <t>Lâmina Crescente</t>
        </is>
      </c>
      <c r="B130" s="2" t="inlineStr">
        <is>
          <t>f</t>
        </is>
      </c>
      <c r="C130" s="2" t="inlineStr">
        <is>
          <t>s</t>
        </is>
      </c>
      <c r="D130" t="inlineStr">
        <is>
          <t>半月刀</t>
        </is>
      </c>
      <c r="E130" t="inlineStr">
        <is>
          <t>Crescent Blade</t>
        </is>
      </c>
      <c r="F130" t="inlineStr">
        <is>
          <t>skill_name_middle12111</t>
        </is>
      </c>
    </row>
    <row r="131">
      <c r="A131" t="inlineStr">
        <is>
          <t>Lâmina Flamejante</t>
        </is>
      </c>
      <c r="B131" s="2" t="inlineStr">
        <is>
          <t>f</t>
        </is>
      </c>
      <c r="C131" s="2" t="inlineStr">
        <is>
          <t>s</t>
        </is>
      </c>
      <c r="D131" t="inlineStr">
        <is>
          <t>烈火刀</t>
        </is>
      </c>
      <c r="E131" t="inlineStr">
        <is>
          <t>Fiery Blade</t>
        </is>
      </c>
      <c r="F131" t="inlineStr">
        <is>
          <t>skill_name_middle12112</t>
        </is>
      </c>
    </row>
    <row r="132">
      <c r="A132" t="inlineStr">
        <is>
          <t>Lâmina do Redemoinho</t>
        </is>
      </c>
      <c r="B132" s="2" t="inlineStr">
        <is>
          <t>f</t>
        </is>
      </c>
      <c r="C132" s="2" t="inlineStr">
        <is>
          <t>s</t>
        </is>
      </c>
      <c r="D132" t="inlineStr">
        <is>
          <t>旋风刀</t>
        </is>
      </c>
      <c r="E132" t="inlineStr">
        <is>
          <t>Whirlwind Blade</t>
        </is>
      </c>
      <c r="F132" t="inlineStr">
        <is>
          <t>skill_name_middle12113</t>
        </is>
      </c>
    </row>
    <row r="133">
      <c r="A133" t="inlineStr">
        <is>
          <t>Lança que Transpassa o Coração</t>
        </is>
      </c>
      <c r="B133" s="2" t="inlineStr">
        <is>
          <t>f</t>
        </is>
      </c>
      <c r="C133" s="2" t="inlineStr">
        <is>
          <t>s</t>
        </is>
      </c>
      <c r="D133" t="inlineStr">
        <is>
          <t>穿心矛</t>
        </is>
      </c>
      <c r="E133" t="inlineStr">
        <is>
          <t>Heart-Piercing Spear</t>
        </is>
      </c>
      <c r="F133" t="inlineStr">
        <is>
          <t>skill_name_middle13111</t>
        </is>
      </c>
    </row>
    <row r="134">
      <c r="A134" t="inlineStr">
        <is>
          <t>Lança do Dragão Voador</t>
        </is>
      </c>
      <c r="B134" s="2" t="inlineStr">
        <is>
          <t>f</t>
        </is>
      </c>
      <c r="C134" s="2" t="inlineStr">
        <is>
          <t>s</t>
        </is>
      </c>
      <c r="D134" t="inlineStr">
        <is>
          <t>飞龙枪</t>
        </is>
      </c>
      <c r="E134" t="inlineStr">
        <is>
          <t>Flying Dragon Spear</t>
        </is>
      </c>
      <c r="F134" t="inlineStr">
        <is>
          <t>skill_name_middle13112</t>
        </is>
      </c>
    </row>
    <row r="135">
      <c r="A135" t="inlineStr">
        <is>
          <t>Lança do Dragão Fendente</t>
        </is>
      </c>
      <c r="B135" s="2" t="inlineStr">
        <is>
          <t>f</t>
        </is>
      </c>
      <c r="C135" s="2" t="inlineStr">
        <is>
          <t>s</t>
        </is>
      </c>
      <c r="D135" t="inlineStr">
        <is>
          <t>贯龙枪</t>
        </is>
      </c>
      <c r="E135" t="inlineStr">
        <is>
          <t>Splitting Dragon Spear</t>
        </is>
      </c>
      <c r="F135" t="inlineStr">
        <is>
          <t>skill_name_middle13113</t>
        </is>
      </c>
    </row>
    <row r="136">
      <c r="A136" t="inlineStr">
        <is>
          <t>Espada da Brisa</t>
        </is>
      </c>
      <c r="B136" s="2" t="inlineStr">
        <is>
          <t>f</t>
        </is>
      </c>
      <c r="C136" s="2" t="inlineStr">
        <is>
          <t>s</t>
        </is>
      </c>
      <c r="D136" t="inlineStr">
        <is>
          <t>清风剑</t>
        </is>
      </c>
      <c r="E136" t="inlineStr">
        <is>
          <t>Breeze Sword</t>
        </is>
      </c>
      <c r="F136" t="inlineStr">
        <is>
          <t>skill_name_middle14111</t>
        </is>
      </c>
    </row>
    <row r="137">
      <c r="A137" t="inlineStr">
        <is>
          <t>Espada Estrela Solitária</t>
        </is>
      </c>
      <c r="B137" s="2" t="inlineStr">
        <is>
          <t>f</t>
        </is>
      </c>
      <c r="C137" s="2" t="inlineStr">
        <is>
          <t>s</t>
        </is>
      </c>
      <c r="D137" t="inlineStr">
        <is>
          <t>孤星剑</t>
        </is>
      </c>
      <c r="E137" t="inlineStr">
        <is>
          <t>Lonestar Sword</t>
        </is>
      </c>
      <c r="F137" t="inlineStr">
        <is>
          <t>skill_name_middle14112</t>
        </is>
      </c>
    </row>
    <row r="138">
      <c r="A138" t="inlineStr">
        <is>
          <t>Espada Sombra Lunar</t>
        </is>
      </c>
      <c r="B138" s="2" t="inlineStr">
        <is>
          <t>f</t>
        </is>
      </c>
      <c r="C138" s="2" t="inlineStr">
        <is>
          <t>s</t>
        </is>
      </c>
      <c r="D138" t="inlineStr">
        <is>
          <t>月影剑</t>
        </is>
      </c>
      <c r="E138" t="inlineStr">
        <is>
          <t>Moonshadow Sword</t>
        </is>
      </c>
      <c r="F138" t="inlineStr">
        <is>
          <t>skill_name_middle14113</t>
        </is>
      </c>
    </row>
    <row r="139">
      <c r="A139" t="inlineStr">
        <is>
          <t>Punho Sereno</t>
        </is>
      </c>
      <c r="B139" s="2" t="inlineStr">
        <is>
          <t>m</t>
        </is>
      </c>
      <c r="C139" s="2" t="inlineStr">
        <is>
          <t>s</t>
        </is>
      </c>
      <c r="D139" t="inlineStr">
        <is>
          <t>定气拳</t>
        </is>
      </c>
      <c r="E139" t="inlineStr">
        <is>
          <t>Serene Fist</t>
        </is>
      </c>
      <c r="F139" t="inlineStr">
        <is>
          <t>skill_name_middle15111</t>
        </is>
      </c>
    </row>
    <row r="140">
      <c r="A140" t="inlineStr">
        <is>
          <t>Punho Sísmico</t>
        </is>
      </c>
      <c r="B140" s="2" t="inlineStr">
        <is>
          <t>m</t>
        </is>
      </c>
      <c r="C140" s="2" t="inlineStr">
        <is>
          <t>s</t>
        </is>
      </c>
      <c r="D140" t="inlineStr">
        <is>
          <t>裂地拳</t>
        </is>
      </c>
      <c r="E140" t="inlineStr">
        <is>
          <t>Seismic Fist</t>
        </is>
      </c>
      <c r="F140" t="inlineStr">
        <is>
          <t>skill_name_middle15112</t>
        </is>
      </c>
    </row>
    <row r="141">
      <c r="A141" t="inlineStr">
        <is>
          <t>Punho Colossal</t>
        </is>
      </c>
      <c r="B141" s="2" t="inlineStr">
        <is>
          <t>m</t>
        </is>
      </c>
      <c r="C141" s="2" t="inlineStr">
        <is>
          <t>s</t>
        </is>
      </c>
      <c r="D141" t="inlineStr">
        <is>
          <t>震天拳</t>
        </is>
      </c>
      <c r="E141" t="inlineStr">
        <is>
          <t>Colossal Fist</t>
        </is>
      </c>
      <c r="F141" t="inlineStr">
        <is>
          <t>skill_name_middle15113</t>
        </is>
      </c>
    </row>
    <row r="142">
      <c r="A142" t="inlineStr">
        <is>
          <t>Palma da Onda Verde</t>
        </is>
      </c>
      <c r="B142" s="2" t="inlineStr">
        <is>
          <t>f</t>
        </is>
      </c>
      <c r="C142" s="2" t="inlineStr">
        <is>
          <t>s</t>
        </is>
      </c>
      <c r="D142" t="inlineStr">
        <is>
          <t>青涛掌</t>
        </is>
      </c>
      <c r="E142" t="inlineStr">
        <is>
          <t>Greenwave Palm</t>
        </is>
      </c>
      <c r="F142" t="inlineStr">
        <is>
          <t>skill_name_middle16111</t>
        </is>
      </c>
    </row>
    <row r="143">
      <c r="A143" t="inlineStr">
        <is>
          <t>Palma da Mudança de Nuvens</t>
        </is>
      </c>
      <c r="B143" s="2" t="inlineStr">
        <is>
          <t>f</t>
        </is>
      </c>
      <c r="C143" s="2" t="inlineStr">
        <is>
          <t>s</t>
        </is>
      </c>
      <c r="D143" t="inlineStr">
        <is>
          <t>排云掌</t>
        </is>
      </c>
      <c r="E143" t="inlineStr">
        <is>
          <t>Cloudshift Palm</t>
        </is>
      </c>
      <c r="F143" t="inlineStr">
        <is>
          <t>skill_name_middle16112</t>
        </is>
      </c>
    </row>
    <row r="144">
      <c r="A144" t="inlineStr">
        <is>
          <t>Palma da Celeridade</t>
        </is>
      </c>
      <c r="B144" s="2" t="inlineStr">
        <is>
          <t>f</t>
        </is>
      </c>
      <c r="C144" s="2" t="inlineStr">
        <is>
          <t>s</t>
        </is>
      </c>
      <c r="D144" t="inlineStr">
        <is>
          <t>凌波掌</t>
        </is>
      </c>
      <c r="E144" t="inlineStr">
        <is>
          <t>Celerity Palm</t>
        </is>
      </c>
      <c r="F144" t="inlineStr">
        <is>
          <t>skill_name_middle16113</t>
        </is>
      </c>
    </row>
    <row r="145">
      <c r="A145" t="inlineStr">
        <is>
          <t>Dedo Bumerangue</t>
        </is>
      </c>
      <c r="B145" s="2" t="inlineStr">
        <is>
          <t>m</t>
        </is>
      </c>
      <c r="C145" s="2" t="inlineStr">
        <is>
          <t>s</t>
        </is>
      </c>
      <c r="D145" t="inlineStr">
        <is>
          <t>轮回指</t>
        </is>
      </c>
      <c r="E145" t="inlineStr">
        <is>
          <t>Boomerang Finger</t>
        </is>
      </c>
      <c r="F145" t="inlineStr">
        <is>
          <t>skill_name_middle17111</t>
        </is>
      </c>
    </row>
    <row r="146">
      <c r="A146" t="inlineStr">
        <is>
          <t>Dedo da Dualidade</t>
        </is>
      </c>
      <c r="B146" s="2" t="inlineStr">
        <is>
          <t>m</t>
        </is>
      </c>
      <c r="C146" s="2" t="inlineStr">
        <is>
          <t>s</t>
        </is>
      </c>
      <c r="D146" t="inlineStr">
        <is>
          <t>两仪指</t>
        </is>
      </c>
      <c r="E146" t="inlineStr">
        <is>
          <t>Duality Finger</t>
        </is>
      </c>
      <c r="F146" t="inlineStr">
        <is>
          <t>skill_name_middle17112</t>
        </is>
      </c>
    </row>
    <row r="147">
      <c r="A147" t="inlineStr">
        <is>
          <t>Dedo sem sinais</t>
        </is>
      </c>
      <c r="B147" s="2" t="inlineStr">
        <is>
          <t>m</t>
        </is>
      </c>
      <c r="C147" s="2" t="inlineStr">
        <is>
          <t>s</t>
        </is>
      </c>
      <c r="D147" t="inlineStr">
        <is>
          <t>无相指</t>
        </is>
      </c>
      <c r="E147" t="inlineStr">
        <is>
          <t>Signless Finger</t>
        </is>
      </c>
      <c r="F147" t="inlineStr">
        <is>
          <t>skill_name_middle17113</t>
        </is>
      </c>
    </row>
    <row r="148">
      <c r="A148" t="inlineStr">
        <is>
          <t>Domar o dragão</t>
        </is>
      </c>
      <c r="B148" s="2" t="inlineStr">
        <is>
          <t>m</t>
        </is>
      </c>
      <c r="C148" s="2" t="inlineStr">
        <is>
          <t>s</t>
        </is>
      </c>
      <c r="D148" t="inlineStr">
        <is>
          <t>降龙</t>
        </is>
      </c>
      <c r="F148" t="inlineStr">
        <is>
          <t>skill_name_middle20011</t>
        </is>
      </c>
    </row>
    <row r="149">
      <c r="A149" t="inlineStr">
        <is>
          <t>Domar tigres</t>
        </is>
      </c>
      <c r="B149" s="2" t="inlineStr">
        <is>
          <t>m</t>
        </is>
      </c>
      <c r="C149" s="2" t="inlineStr">
        <is>
          <t>s</t>
        </is>
      </c>
      <c r="D149" t="inlineStr">
        <is>
          <t>伏虎</t>
        </is>
      </c>
      <c r="F149" t="inlineStr">
        <is>
          <t>skill_name_middle20021</t>
        </is>
      </c>
    </row>
    <row r="150">
      <c r="A150" t="inlineStr">
        <is>
          <t>Fênix Voadora</t>
        </is>
      </c>
      <c r="B150" s="2" t="inlineStr">
        <is>
          <t>f</t>
        </is>
      </c>
      <c r="C150" s="2" t="inlineStr">
        <is>
          <t>s</t>
        </is>
      </c>
      <c r="D150" t="inlineStr">
        <is>
          <t>飞凤</t>
        </is>
      </c>
      <c r="F150" t="inlineStr">
        <is>
          <t>skill_name_middle20031</t>
        </is>
      </c>
    </row>
    <row r="151">
      <c r="A151" t="inlineStr">
        <is>
          <t>Liuhe</t>
        </is>
      </c>
      <c r="B151" s="2" t="inlineStr">
        <is>
          <t>m</t>
        </is>
      </c>
      <c r="C151" s="2" t="inlineStr">
        <is>
          <t>s</t>
        </is>
      </c>
      <c r="D151" t="inlineStr">
        <is>
          <t>六合</t>
        </is>
      </c>
      <c r="F151" t="inlineStr">
        <is>
          <t>skill_name_middle20041</t>
        </is>
      </c>
    </row>
    <row r="152">
      <c r="A152" t="inlineStr">
        <is>
          <t>Matar demônios</t>
        </is>
      </c>
      <c r="B152" s="2" t="inlineStr">
        <is>
          <t>m</t>
        </is>
      </c>
      <c r="C152" s="2" t="inlineStr">
        <is>
          <t>s</t>
        </is>
      </c>
      <c r="D152" t="inlineStr">
        <is>
          <t>斩妖</t>
        </is>
      </c>
      <c r="F152" t="inlineStr">
        <is>
          <t>skill_name_middle20051</t>
        </is>
      </c>
    </row>
    <row r="153">
      <c r="A153" t="inlineStr">
        <is>
          <t>Terra Desolada</t>
        </is>
      </c>
      <c r="B153" s="2" t="inlineStr">
        <is>
          <t>f</t>
        </is>
      </c>
      <c r="C153" s="2" t="inlineStr">
        <is>
          <t>s</t>
        </is>
      </c>
      <c r="D153" t="inlineStr">
        <is>
          <t>大荒</t>
        </is>
      </c>
      <c r="F153" t="inlineStr">
        <is>
          <t>skill_name_middle20061</t>
        </is>
      </c>
    </row>
    <row r="154">
      <c r="A154" t="inlineStr">
        <is>
          <t>Infinitas transformações</t>
        </is>
      </c>
      <c r="B154" s="2" t="inlineStr">
        <is>
          <t>f</t>
        </is>
      </c>
      <c r="C154" s="2" t="inlineStr">
        <is>
          <t>p</t>
        </is>
      </c>
      <c r="D154" t="inlineStr">
        <is>
          <t>万化</t>
        </is>
      </c>
      <c r="F154" t="inlineStr">
        <is>
          <t>skill_name_middle20071</t>
        </is>
      </c>
    </row>
    <row r="155">
      <c r="A155" t="inlineStr">
        <is>
          <t>Dugu</t>
        </is>
      </c>
      <c r="B155" s="2" t="inlineStr">
        <is>
          <t>m</t>
        </is>
      </c>
      <c r="C155" s="2" t="inlineStr">
        <is>
          <t>s</t>
        </is>
      </c>
      <c r="D155" t="inlineStr">
        <is>
          <t>独孤</t>
        </is>
      </c>
      <c r="F155" t="inlineStr">
        <is>
          <t>skill_name_middle20081</t>
        </is>
      </c>
    </row>
    <row r="156">
      <c r="A156" t="inlineStr">
        <is>
          <t>Tathagata</t>
        </is>
      </c>
      <c r="B156" s="2" t="inlineStr">
        <is>
          <t>f</t>
        </is>
      </c>
      <c r="C156" s="2" t="inlineStr">
        <is>
          <t>s</t>
        </is>
      </c>
      <c r="D156" t="inlineStr">
        <is>
          <t>如来</t>
        </is>
      </c>
      <c r="F156" t="inlineStr">
        <is>
          <t>skill_name_middle20091</t>
        </is>
      </c>
    </row>
    <row r="157">
      <c r="A157" t="inlineStr">
        <is>
          <t>Três Purezas</t>
        </is>
      </c>
      <c r="B157" s="2" t="inlineStr">
        <is>
          <t>m</t>
        </is>
      </c>
      <c r="C157" s="2" t="inlineStr">
        <is>
          <t>p</t>
        </is>
      </c>
      <c r="D157" t="inlineStr">
        <is>
          <t>三清</t>
        </is>
      </c>
      <c r="F157" t="inlineStr">
        <is>
          <t>skill_name_middle20101</t>
        </is>
      </c>
    </row>
    <row r="158">
      <c r="A158" t="inlineStr">
        <is>
          <t>Três Yang</t>
        </is>
      </c>
      <c r="B158" s="2" t="inlineStr">
        <is>
          <t>m</t>
        </is>
      </c>
      <c r="C158" s="2" t="inlineStr">
        <is>
          <t>p</t>
        </is>
      </c>
      <c r="D158" t="inlineStr">
        <is>
          <t>三阳</t>
        </is>
      </c>
      <c r="F158" t="inlineStr">
        <is>
          <t>skill_name_middle20111</t>
        </is>
      </c>
    </row>
    <row r="159">
      <c r="A159" t="inlineStr">
        <is>
          <t>Seis Yang</t>
        </is>
      </c>
      <c r="B159" s="2" t="inlineStr">
        <is>
          <t>m</t>
        </is>
      </c>
      <c r="C159" s="2" t="inlineStr">
        <is>
          <t>p</t>
        </is>
      </c>
      <c r="D159" t="inlineStr">
        <is>
          <t>六阳</t>
        </is>
      </c>
      <c r="F159" t="inlineStr">
        <is>
          <t>skill_name_middle20121</t>
        </is>
      </c>
    </row>
    <row r="160">
      <c r="A160" t="inlineStr">
        <is>
          <t>Sem forma</t>
        </is>
      </c>
      <c r="B160" s="2" t="inlineStr">
        <is>
          <t>m</t>
        </is>
      </c>
      <c r="C160" s="2" t="inlineStr">
        <is>
          <t>s</t>
        </is>
      </c>
      <c r="D160" t="inlineStr">
        <is>
          <t>无相</t>
        </is>
      </c>
      <c r="F160" t="inlineStr">
        <is>
          <t>skill_name_middle20131</t>
        </is>
      </c>
    </row>
    <row r="161">
      <c r="A161" t="inlineStr">
        <is>
          <t>Maldições terrenas</t>
        </is>
      </c>
      <c r="B161" s="2" t="inlineStr">
        <is>
          <t>f</t>
        </is>
      </c>
      <c r="C161" s="2" t="inlineStr">
        <is>
          <t>p</t>
        </is>
      </c>
      <c r="D161" t="inlineStr">
        <is>
          <t>地煞</t>
        </is>
      </c>
      <c r="F161" t="inlineStr">
        <is>
          <t>skill_name_middle20141</t>
        </is>
      </c>
    </row>
    <row r="162">
      <c r="A162" t="inlineStr">
        <is>
          <t>Tiangang</t>
        </is>
      </c>
      <c r="B162" s="2" t="inlineStr">
        <is>
          <t>m</t>
        </is>
      </c>
      <c r="C162" s="2" t="inlineStr">
        <is>
          <t>s</t>
        </is>
      </c>
      <c r="D162" t="inlineStr">
        <is>
          <t>天罡</t>
        </is>
      </c>
      <c r="F162" t="inlineStr">
        <is>
          <t>skill_name_middle20151</t>
        </is>
      </c>
    </row>
    <row r="163">
      <c r="A163" t="inlineStr">
        <is>
          <t>Os dois princípios</t>
        </is>
      </c>
      <c r="B163" s="2" t="inlineStr">
        <is>
          <t>m</t>
        </is>
      </c>
      <c r="C163" s="2" t="inlineStr">
        <is>
          <t>p</t>
        </is>
      </c>
      <c r="D163" t="inlineStr">
        <is>
          <t>两仪</t>
        </is>
      </c>
      <c r="F163" t="inlineStr">
        <is>
          <t>skill_name_middle20161</t>
        </is>
      </c>
    </row>
    <row r="164">
      <c r="A164" t="inlineStr">
        <is>
          <t>Quatro Símbolos</t>
        </is>
      </c>
      <c r="B164" s="2" t="inlineStr">
        <is>
          <t>m</t>
        </is>
      </c>
      <c r="C164" s="2" t="inlineStr">
        <is>
          <t>s</t>
        </is>
      </c>
      <c r="D164" t="inlineStr">
        <is>
          <t>四象</t>
        </is>
      </c>
      <c r="F164" t="inlineStr">
        <is>
          <t>skill_name_middle20171</t>
        </is>
      </c>
    </row>
    <row r="165">
      <c r="A165" t="inlineStr">
        <is>
          <t>Bagua</t>
        </is>
      </c>
      <c r="B165" s="2" t="inlineStr">
        <is>
          <t>m</t>
        </is>
      </c>
      <c r="C165" s="2" t="inlineStr">
        <is>
          <t>s</t>
        </is>
      </c>
      <c r="D165" t="inlineStr">
        <is>
          <t>八卦</t>
        </is>
      </c>
      <c r="F165" t="inlineStr">
        <is>
          <t>skill_name_middle20181</t>
        </is>
      </c>
    </row>
    <row r="166">
      <c r="A166" t="inlineStr">
        <is>
          <t>Num só fôlego</t>
        </is>
      </c>
      <c r="B166" s="2" t="inlineStr">
        <is>
          <t>m</t>
        </is>
      </c>
      <c r="C166" s="2" t="inlineStr">
        <is>
          <t>s</t>
        </is>
      </c>
      <c r="D166" t="inlineStr">
        <is>
          <t>一气</t>
        </is>
      </c>
      <c r="F166" t="inlineStr">
        <is>
          <t>skill_name_middle20191</t>
        </is>
      </c>
    </row>
    <row r="167">
      <c r="A167" t="inlineStr">
        <is>
          <t>Vale dos Demônios</t>
        </is>
      </c>
      <c r="B167" s="2" t="inlineStr">
        <is>
          <t>m</t>
        </is>
      </c>
      <c r="C167" s="2" t="inlineStr">
        <is>
          <t>s</t>
        </is>
      </c>
      <c r="D167" t="inlineStr">
        <is>
          <t>鬼谷</t>
        </is>
      </c>
      <c r="F167" t="inlineStr">
        <is>
          <t>skill_name_middle20201</t>
        </is>
      </c>
    </row>
    <row r="168">
      <c r="A168" t="inlineStr">
        <is>
          <t>Domínio do Qi</t>
        </is>
      </c>
      <c r="B168" s="2" t="inlineStr">
        <is>
          <t>m</t>
        </is>
      </c>
      <c r="C168" s="2" t="inlineStr">
        <is>
          <t>s</t>
        </is>
      </c>
      <c r="D168" t="inlineStr">
        <is>
          <t>御气</t>
        </is>
      </c>
      <c r="F168" t="inlineStr">
        <is>
          <t>skill_name_middle20211</t>
        </is>
      </c>
    </row>
    <row r="169">
      <c r="A169" t="inlineStr">
        <is>
          <t>Controle de Qi</t>
        </is>
      </c>
      <c r="B169" s="2" t="inlineStr">
        <is>
          <t>m</t>
        </is>
      </c>
      <c r="C169" s="2" t="inlineStr">
        <is>
          <t>s</t>
        </is>
      </c>
      <c r="D169" t="inlineStr">
        <is>
          <t>御气</t>
        </is>
      </c>
      <c r="F169" t="inlineStr">
        <is>
          <t>skill_name_middle20212</t>
        </is>
      </c>
    </row>
    <row r="170">
      <c r="A170" t="inlineStr">
        <is>
          <t>Transformação do coração</t>
        </is>
      </c>
      <c r="B170" s="2" t="inlineStr">
        <is>
          <t>f</t>
        </is>
      </c>
      <c r="C170" s="2" t="inlineStr">
        <is>
          <t>s</t>
        </is>
      </c>
      <c r="D170" t="inlineStr">
        <is>
          <t>化心</t>
        </is>
      </c>
      <c r="F170" t="inlineStr">
        <is>
          <t>skill_name_middle20221</t>
        </is>
      </c>
    </row>
    <row r="171">
      <c r="A171" t="inlineStr">
        <is>
          <t>Sombra Espiritual</t>
        </is>
      </c>
      <c r="B171" s="2" t="inlineStr">
        <is>
          <t>f</t>
        </is>
      </c>
      <c r="C171" s="2" t="inlineStr">
        <is>
          <t>s</t>
        </is>
      </c>
      <c r="D171" t="inlineStr">
        <is>
          <t>灵影</t>
        </is>
      </c>
      <c r="F171" t="inlineStr">
        <is>
          <t>skill_name_middle20231</t>
        </is>
      </c>
    </row>
    <row r="172">
      <c r="A172" t="inlineStr">
        <is>
          <t>Chuva intermitente</t>
        </is>
      </c>
      <c r="B172" s="2" t="inlineStr">
        <is>
          <t>f</t>
        </is>
      </c>
      <c r="C172" s="2" t="inlineStr">
        <is>
          <t>s</t>
        </is>
      </c>
      <c r="D172" t="inlineStr">
        <is>
          <t>散雨</t>
        </is>
      </c>
      <c r="F172" t="inlineStr">
        <is>
          <t>skill_name_middle20241</t>
        </is>
      </c>
    </row>
    <row r="173">
      <c r="A173" t="inlineStr">
        <is>
          <t>Espada do Arco-Íris</t>
        </is>
      </c>
      <c r="B173" s="2" t="inlineStr">
        <is>
          <t>f</t>
        </is>
      </c>
      <c r="C173" s="2" t="inlineStr">
        <is>
          <t>s</t>
        </is>
      </c>
      <c r="D173" t="inlineStr">
        <is>
          <t>落虹剑</t>
        </is>
      </c>
      <c r="F173" t="inlineStr">
        <is>
          <t>skill_name_middle20251</t>
        </is>
      </c>
    </row>
    <row r="174">
      <c r="A174" t="inlineStr">
        <is>
          <t>Espada que rompe o vazio</t>
        </is>
      </c>
      <c r="B174" s="2" t="inlineStr">
        <is>
          <t>f</t>
        </is>
      </c>
      <c r="C174" s="2" t="inlineStr">
        <is>
          <t>s</t>
        </is>
      </c>
      <c r="D174" t="inlineStr">
        <is>
          <t>破空剑</t>
        </is>
      </c>
      <c r="F174" t="inlineStr">
        <is>
          <t>skill_name_middle20261</t>
        </is>
      </c>
    </row>
    <row r="175">
      <c r="A175" t="inlineStr">
        <is>
          <t>Gaiolas</t>
        </is>
      </c>
      <c r="B175" s="2" t="inlineStr">
        <is>
          <t>f</t>
        </is>
      </c>
      <c r="C175" s="2" t="inlineStr">
        <is>
          <t>p</t>
        </is>
      </c>
      <c r="D175" t="inlineStr">
        <is>
          <t>囚笼</t>
        </is>
      </c>
      <c r="E175" t="inlineStr">
        <is>
          <t>Cages</t>
        </is>
      </c>
      <c r="F175" t="inlineStr">
        <is>
          <t>skill_name_middle2141</t>
        </is>
      </c>
    </row>
    <row r="176">
      <c r="A176" t="inlineStr">
        <is>
          <t>Olho Demoníaco</t>
        </is>
      </c>
      <c r="B176" s="2" t="inlineStr">
        <is>
          <t>m</t>
        </is>
      </c>
      <c r="C176" s="2" t="inlineStr">
        <is>
          <t>s</t>
        </is>
      </c>
      <c r="D176" t="inlineStr">
        <is>
          <t>幽冥邪瞳</t>
        </is>
      </c>
      <c r="E176" t="inlineStr">
        <is>
          <t>Demonic Eyeball</t>
        </is>
      </c>
      <c r="F176" t="inlineStr">
        <is>
          <t>skill_name_middle214166</t>
        </is>
      </c>
    </row>
    <row r="177">
      <c r="A177" t="inlineStr">
        <is>
          <t>Corte do Sangue Enlouquecido</t>
        </is>
      </c>
      <c r="B177" s="2" t="inlineStr">
        <is>
          <t>m</t>
        </is>
      </c>
      <c r="C177" s="2" t="inlineStr">
        <is>
          <t>s</t>
        </is>
      </c>
      <c r="D177" t="inlineStr">
        <is>
          <t>狂血斩</t>
        </is>
      </c>
      <c r="E177" t="inlineStr">
        <is>
          <t>Crazeblood Cleave</t>
        </is>
      </c>
      <c r="F177" t="inlineStr">
        <is>
          <t>skill_name_middle22111</t>
        </is>
      </c>
    </row>
    <row r="178">
      <c r="A178" t="inlineStr">
        <is>
          <t>Corte do Sangue Furioso</t>
        </is>
      </c>
      <c r="B178" s="2" t="inlineStr">
        <is>
          <t>m</t>
        </is>
      </c>
      <c r="C178" s="2" t="inlineStr">
        <is>
          <t>s</t>
        </is>
      </c>
      <c r="D178" t="inlineStr">
        <is>
          <t>怒血斩</t>
        </is>
      </c>
      <c r="E178" t="inlineStr">
        <is>
          <t>Furyblood Cleave</t>
        </is>
      </c>
      <c r="F178" t="inlineStr">
        <is>
          <t>skill_name_middle22112</t>
        </is>
      </c>
    </row>
    <row r="179">
      <c r="A179" t="inlineStr">
        <is>
          <t>Decepar</t>
        </is>
      </c>
      <c r="B179" s="2" t="inlineStr">
        <is>
          <t>m</t>
        </is>
      </c>
      <c r="C179" s="2" t="inlineStr">
        <is>
          <t>s</t>
        </is>
      </c>
      <c r="D179" t="inlineStr">
        <is>
          <t>断斩</t>
        </is>
      </c>
      <c r="E179" t="inlineStr">
        <is>
          <t>Sever</t>
        </is>
      </c>
      <c r="F179" t="inlineStr">
        <is>
          <t>skill_name_middle22113</t>
        </is>
      </c>
    </row>
    <row r="180">
      <c r="A180" t="inlineStr">
        <is>
          <t>Megacorte</t>
        </is>
      </c>
      <c r="B180" s="2" t="inlineStr">
        <is>
          <t>m</t>
        </is>
      </c>
      <c r="C180" s="2" t="inlineStr">
        <is>
          <t>s</t>
        </is>
      </c>
      <c r="D180" t="inlineStr">
        <is>
          <t>绝斩</t>
        </is>
      </c>
      <c r="E180" t="inlineStr">
        <is>
          <t>Mega Slash</t>
        </is>
      </c>
      <c r="F180" t="inlineStr">
        <is>
          <t>skill_name_middle22114</t>
        </is>
      </c>
    </row>
    <row r="181">
      <c r="A181" t="inlineStr">
        <is>
          <t>Lâmina Vil</t>
        </is>
      </c>
      <c r="B181" s="2" t="inlineStr">
        <is>
          <t>f</t>
        </is>
      </c>
      <c r="C181" s="2" t="inlineStr">
        <is>
          <t>s</t>
        </is>
      </c>
      <c r="D181" t="inlineStr">
        <is>
          <t>邪刃</t>
        </is>
      </c>
      <c r="E181" t="inlineStr">
        <is>
          <t>Felblade</t>
        </is>
      </c>
      <c r="F181" t="inlineStr">
        <is>
          <t>skill_name_middle22115</t>
        </is>
      </c>
    </row>
    <row r="182">
      <c r="A182" t="inlineStr">
        <is>
          <t>Lâmina Varredora</t>
        </is>
      </c>
      <c r="B182" s="2" t="inlineStr">
        <is>
          <t>f</t>
        </is>
      </c>
      <c r="C182" s="2" t="inlineStr">
        <is>
          <t>s</t>
        </is>
      </c>
      <c r="D182" t="inlineStr">
        <is>
          <t>横扫刀</t>
        </is>
      </c>
      <c r="E182" t="inlineStr">
        <is>
          <t>Sweeping Blade</t>
        </is>
      </c>
      <c r="F182" t="inlineStr">
        <is>
          <t>skill_name_middle22116</t>
        </is>
      </c>
    </row>
    <row r="183">
      <c r="A183" t="inlineStr">
        <is>
          <t>Lança de Jade Crepitante</t>
        </is>
      </c>
      <c r="B183" s="2" t="inlineStr">
        <is>
          <t>f</t>
        </is>
      </c>
      <c r="C183" s="2" t="inlineStr">
        <is>
          <t>s</t>
        </is>
      </c>
      <c r="D183" t="inlineStr">
        <is>
          <t>碎玉枪</t>
        </is>
      </c>
      <c r="E183" t="inlineStr">
        <is>
          <t>Crackling Jade Spear</t>
        </is>
      </c>
      <c r="F183" t="inlineStr">
        <is>
          <t>skill_name_middle23111</t>
        </is>
      </c>
    </row>
    <row r="184">
      <c r="A184" t="inlineStr">
        <is>
          <t>Ascensão do Dragão Verdadeiro</t>
        </is>
      </c>
      <c r="B184" s="2" t="inlineStr">
        <is>
          <t>f</t>
        </is>
      </c>
      <c r="C184" s="2" t="inlineStr">
        <is>
          <t>s</t>
        </is>
      </c>
      <c r="D184" t="inlineStr">
        <is>
          <t>真龙破</t>
        </is>
      </c>
      <c r="E184" t="inlineStr">
        <is>
          <t>True Dragon Rising</t>
        </is>
      </c>
      <c r="F184" t="inlineStr">
        <is>
          <t>skill_name_middle23112</t>
        </is>
      </c>
    </row>
    <row r="185">
      <c r="A185" t="inlineStr">
        <is>
          <t>Lança de Quebra-Linhas</t>
        </is>
      </c>
      <c r="B185" s="2" t="inlineStr">
        <is>
          <t>f</t>
        </is>
      </c>
      <c r="C185" s="2" t="inlineStr">
        <is>
          <t>s</t>
        </is>
      </c>
      <c r="D185" t="inlineStr">
        <is>
          <t>破阵枪</t>
        </is>
      </c>
      <c r="E185" t="inlineStr">
        <is>
          <t>Linebreaking Spear</t>
        </is>
      </c>
      <c r="F185" t="inlineStr">
        <is>
          <t>skill_name_middle23113</t>
        </is>
      </c>
    </row>
    <row r="186">
      <c r="A186" t="inlineStr">
        <is>
          <t>Ascensão do Dragão Rugidor</t>
        </is>
      </c>
      <c r="B186" s="2" t="inlineStr">
        <is>
          <t>f</t>
        </is>
      </c>
      <c r="C186" s="2" t="inlineStr">
        <is>
          <t>s</t>
        </is>
      </c>
      <c r="D186" t="inlineStr">
        <is>
          <t>啸龙破</t>
        </is>
      </c>
      <c r="E186" t="inlineStr">
        <is>
          <t>Roaring Dragon Rising</t>
        </is>
      </c>
      <c r="F186" t="inlineStr">
        <is>
          <t>skill_name_middle23114</t>
        </is>
      </c>
    </row>
    <row r="187">
      <c r="A187" t="inlineStr">
        <is>
          <t>Ascensão do Dragão Audaz</t>
        </is>
      </c>
      <c r="B187" s="2" t="inlineStr">
        <is>
          <t>f</t>
        </is>
      </c>
      <c r="C187" s="2" t="inlineStr">
        <is>
          <t>s</t>
        </is>
      </c>
      <c r="D187" t="inlineStr">
        <is>
          <t>擎龙破</t>
        </is>
      </c>
      <c r="E187" t="inlineStr">
        <is>
          <t>Dashing Dragon Rising</t>
        </is>
      </c>
      <c r="F187" t="inlineStr">
        <is>
          <t>skill_name_middle23115</t>
        </is>
      </c>
    </row>
    <row r="188">
      <c r="A188" t="inlineStr">
        <is>
          <t>Ascensão do Dragão Veloz</t>
        </is>
      </c>
      <c r="B188" s="2" t="inlineStr">
        <is>
          <t>f</t>
        </is>
      </c>
      <c r="C188" s="2" t="inlineStr">
        <is>
          <t>s</t>
        </is>
      </c>
      <c r="D188" t="inlineStr">
        <is>
          <t>疾龙破</t>
        </is>
      </c>
      <c r="E188" t="inlineStr">
        <is>
          <t>Sprinting Dragon Rising</t>
        </is>
      </c>
      <c r="F188" t="inlineStr">
        <is>
          <t>skill_name_middle23116</t>
        </is>
      </c>
    </row>
    <row r="189">
      <c r="A189" t="inlineStr">
        <is>
          <t>Espada Sem Sombra</t>
        </is>
      </c>
      <c r="B189" s="2" t="inlineStr">
        <is>
          <t>f</t>
        </is>
      </c>
      <c r="C189" s="2" t="inlineStr">
        <is>
          <t>s</t>
        </is>
      </c>
      <c r="D189" t="inlineStr">
        <is>
          <t>绝影剑</t>
        </is>
      </c>
      <c r="E189" t="inlineStr">
        <is>
          <t>Shadowless Sword</t>
        </is>
      </c>
      <c r="F189" t="inlineStr">
        <is>
          <t>skill_name_middle24111</t>
        </is>
      </c>
    </row>
    <row r="190">
      <c r="A190" t="inlineStr">
        <is>
          <t>Espada da Ventania</t>
        </is>
      </c>
      <c r="B190" s="2" t="inlineStr">
        <is>
          <t>f</t>
        </is>
      </c>
      <c r="C190" s="2" t="inlineStr">
        <is>
          <t>s</t>
        </is>
      </c>
      <c r="D190" t="inlineStr">
        <is>
          <t>疾风剑</t>
        </is>
      </c>
      <c r="E190" t="inlineStr">
        <is>
          <t>Gale Sword</t>
        </is>
      </c>
      <c r="F190" t="inlineStr">
        <is>
          <t>skill_name_middle24112</t>
        </is>
      </c>
    </row>
    <row r="191">
      <c r="A191" t="inlineStr">
        <is>
          <t>Espada Estrela Quebrada</t>
        </is>
      </c>
      <c r="B191" s="2" t="inlineStr">
        <is>
          <t>f</t>
        </is>
      </c>
      <c r="C191" s="2" t="inlineStr">
        <is>
          <t>s</t>
        </is>
      </c>
      <c r="D191" t="inlineStr">
        <is>
          <t>碎星剑</t>
        </is>
      </c>
      <c r="E191" t="inlineStr">
        <is>
          <t>Brokenstar Sword</t>
        </is>
      </c>
      <c r="F191" t="inlineStr">
        <is>
          <t>skill_name_middle24113</t>
        </is>
      </c>
    </row>
    <row r="192">
      <c r="A192" t="inlineStr">
        <is>
          <t>Espada do Pôr do Sol</t>
        </is>
      </c>
      <c r="B192" s="2" t="inlineStr">
        <is>
          <t>f</t>
        </is>
      </c>
      <c r="C192" s="2" t="inlineStr">
        <is>
          <t>s</t>
        </is>
      </c>
      <c r="D192" t="inlineStr">
        <is>
          <t>落日剑</t>
        </is>
      </c>
      <c r="E192" t="inlineStr">
        <is>
          <t>Sunset Sword</t>
        </is>
      </c>
      <c r="F192" t="inlineStr">
        <is>
          <t>skill_name_middle24114</t>
        </is>
      </c>
    </row>
    <row r="193">
      <c r="A193" t="inlineStr">
        <is>
          <t>Espada Cortacéus</t>
        </is>
      </c>
      <c r="B193" s="2" t="inlineStr">
        <is>
          <t>f</t>
        </is>
      </c>
      <c r="C193" s="2" t="inlineStr">
        <is>
          <t>s</t>
        </is>
      </c>
      <c r="D193" t="inlineStr">
        <is>
          <t>斩天剑</t>
        </is>
      </c>
      <c r="E193" t="inlineStr">
        <is>
          <t>Skycleaver Sword</t>
        </is>
      </c>
      <c r="F193" t="inlineStr">
        <is>
          <t>skill_name_middle24115</t>
        </is>
      </c>
    </row>
    <row r="194">
      <c r="A194" t="inlineStr">
        <is>
          <t>Espada Fragmentadora do Céu</t>
        </is>
      </c>
      <c r="B194" s="2" t="inlineStr">
        <is>
          <t>f</t>
        </is>
      </c>
      <c r="C194" s="2" t="inlineStr">
        <is>
          <t>s</t>
        </is>
      </c>
      <c r="D194" t="inlineStr">
        <is>
          <t>灭空剑</t>
        </is>
      </c>
      <c r="E194" t="inlineStr">
        <is>
          <t>Skyshatter Sword</t>
        </is>
      </c>
      <c r="F194" t="inlineStr">
        <is>
          <t>skill_name_middle24116</t>
        </is>
      </c>
    </row>
    <row r="195">
      <c r="A195" t="inlineStr">
        <is>
          <t>Punho Sombrio</t>
        </is>
      </c>
      <c r="B195" s="2" t="inlineStr">
        <is>
          <t>m</t>
        </is>
      </c>
      <c r="C195" s="2" t="inlineStr">
        <is>
          <t>s</t>
        </is>
      </c>
      <c r="D195" t="inlineStr">
        <is>
          <t>破体拳</t>
        </is>
      </c>
      <c r="E195" t="inlineStr">
        <is>
          <t>Shadowy Fist</t>
        </is>
      </c>
      <c r="F195" t="inlineStr">
        <is>
          <t>skill_name_middle25111</t>
        </is>
      </c>
    </row>
    <row r="196">
      <c r="A196" t="inlineStr">
        <is>
          <t>Punho do Rugido do Leão</t>
        </is>
      </c>
      <c r="B196" s="2" t="inlineStr">
        <is>
          <t>m</t>
        </is>
      </c>
      <c r="C196" s="2" t="inlineStr">
        <is>
          <t>s</t>
        </is>
      </c>
      <c r="D196" t="inlineStr">
        <is>
          <t>狮吼拳</t>
        </is>
      </c>
      <c r="E196" t="inlineStr">
        <is>
          <t>Lion's Roar Fist</t>
        </is>
      </c>
      <c r="F196" t="inlineStr">
        <is>
          <t>skill_name_middle25112</t>
        </is>
      </c>
    </row>
    <row r="197">
      <c r="A197" t="inlineStr">
        <is>
          <t>Punho Dobra-Mente</t>
        </is>
      </c>
      <c r="B197" s="2" t="inlineStr">
        <is>
          <t>m</t>
        </is>
      </c>
      <c r="C197" s="2" t="inlineStr">
        <is>
          <t>s</t>
        </is>
      </c>
      <c r="D197" t="inlineStr">
        <is>
          <t>摧心拳</t>
        </is>
      </c>
      <c r="E197" t="inlineStr">
        <is>
          <t>Mindbender Fist</t>
        </is>
      </c>
      <c r="F197" t="inlineStr">
        <is>
          <t>skill_name_middle25113</t>
        </is>
      </c>
    </row>
    <row r="198">
      <c r="A198" t="inlineStr">
        <is>
          <t>Punho Destruidor de Colinas</t>
        </is>
      </c>
      <c r="B198" s="2" t="inlineStr">
        <is>
          <t>m</t>
        </is>
      </c>
      <c r="C198" s="2" t="inlineStr">
        <is>
          <t>s</t>
        </is>
      </c>
      <c r="D198" t="inlineStr">
        <is>
          <t>崩山拳</t>
        </is>
      </c>
      <c r="E198" t="inlineStr">
        <is>
          <t>Hillbreaker Fist</t>
        </is>
      </c>
      <c r="F198" t="inlineStr">
        <is>
          <t>skill_name_middle25114</t>
        </is>
      </c>
    </row>
    <row r="199">
      <c r="A199" t="inlineStr">
        <is>
          <t>Punho de Corpo de Ferro</t>
        </is>
      </c>
      <c r="B199" s="2" t="inlineStr">
        <is>
          <t>m</t>
        </is>
      </c>
      <c r="C199" s="2" t="inlineStr">
        <is>
          <t>s</t>
        </is>
      </c>
      <c r="D199" t="inlineStr">
        <is>
          <t>金刚拳</t>
        </is>
      </c>
      <c r="E199" t="inlineStr">
        <is>
          <t>Ironbody Fist</t>
        </is>
      </c>
      <c r="F199" t="inlineStr">
        <is>
          <t>skill_name_middle25115</t>
        </is>
      </c>
    </row>
    <row r="200">
      <c r="A200" t="inlineStr">
        <is>
          <t>Punho da Explosão Celestial</t>
        </is>
      </c>
      <c r="B200" s="2" t="inlineStr">
        <is>
          <t>m</t>
        </is>
      </c>
      <c r="C200" s="2" t="inlineStr">
        <is>
          <t>s</t>
        </is>
      </c>
      <c r="D200" t="inlineStr">
        <is>
          <t>轰天拳</t>
        </is>
      </c>
      <c r="E200" t="inlineStr">
        <is>
          <t>Skyblast Fist</t>
        </is>
      </c>
      <c r="F200" t="inlineStr">
        <is>
          <t>skill_name_middle25116</t>
        </is>
      </c>
    </row>
    <row r="201">
      <c r="A201" t="inlineStr">
        <is>
          <t>Palma da Tempestade</t>
        </is>
      </c>
      <c r="B201" s="2" t="inlineStr">
        <is>
          <t>f</t>
        </is>
      </c>
      <c r="C201" s="2" t="inlineStr">
        <is>
          <t>s</t>
        </is>
      </c>
      <c r="D201" t="inlineStr">
        <is>
          <t>暴风掌</t>
        </is>
      </c>
      <c r="E201" t="inlineStr">
        <is>
          <t>Storm Palm</t>
        </is>
      </c>
      <c r="F201" t="inlineStr">
        <is>
          <t>skill_name_middle26111</t>
        </is>
      </c>
    </row>
    <row r="202">
      <c r="A202" t="inlineStr">
        <is>
          <t>Palma da Paliçada</t>
        </is>
      </c>
      <c r="B202" s="2" t="inlineStr">
        <is>
          <t>f</t>
        </is>
      </c>
      <c r="C202" s="2" t="inlineStr">
        <is>
          <t>s</t>
        </is>
      </c>
      <c r="D202" t="inlineStr">
        <is>
          <t>断崖掌</t>
        </is>
      </c>
      <c r="E202" t="inlineStr">
        <is>
          <t>Palisade Palm</t>
        </is>
      </c>
      <c r="F202" t="inlineStr">
        <is>
          <t>skill_name_middle26112</t>
        </is>
      </c>
    </row>
    <row r="203">
      <c r="A203" t="inlineStr">
        <is>
          <t>Palma do Deslizamento</t>
        </is>
      </c>
      <c r="B203" s="2" t="inlineStr">
        <is>
          <t>f</t>
        </is>
      </c>
      <c r="C203" s="2" t="inlineStr">
        <is>
          <t>s</t>
        </is>
      </c>
      <c r="D203" t="inlineStr">
        <is>
          <t>摧山掌</t>
        </is>
      </c>
      <c r="E203" t="inlineStr">
        <is>
          <t>Landslide Palm</t>
        </is>
      </c>
      <c r="F203" t="inlineStr">
        <is>
          <t>skill_name_middle26113</t>
        </is>
      </c>
    </row>
    <row r="204">
      <c r="A204" t="inlineStr">
        <is>
          <t>Palma Arco-Íris</t>
        </is>
      </c>
      <c r="B204" s="2" t="inlineStr">
        <is>
          <t>f</t>
        </is>
      </c>
      <c r="C204" s="2" t="inlineStr">
        <is>
          <t>s</t>
        </is>
      </c>
      <c r="D204" t="inlineStr">
        <is>
          <t>惊虹掌</t>
        </is>
      </c>
      <c r="E204" t="inlineStr">
        <is>
          <t>Rainbow Palm</t>
        </is>
      </c>
      <c r="F204" t="inlineStr">
        <is>
          <t>skill_name_middle26114</t>
        </is>
      </c>
    </row>
    <row r="205">
      <c r="A205" t="inlineStr">
        <is>
          <t>Palma da Quebra-Maré</t>
        </is>
      </c>
      <c r="B205" s="2" t="inlineStr">
        <is>
          <t>f</t>
        </is>
      </c>
      <c r="C205" s="2" t="inlineStr">
        <is>
          <t>s</t>
        </is>
      </c>
      <c r="D205" t="inlineStr">
        <is>
          <t>破浪掌</t>
        </is>
      </c>
      <c r="E205" t="inlineStr">
        <is>
          <t>Tidebreak Palm</t>
        </is>
      </c>
      <c r="F205" t="inlineStr">
        <is>
          <t>skill_name_middle26115</t>
        </is>
      </c>
    </row>
    <row r="206">
      <c r="A206" t="inlineStr">
        <is>
          <t>Palma Oceânica</t>
        </is>
      </c>
      <c r="B206" s="2" t="inlineStr">
        <is>
          <t>f</t>
        </is>
      </c>
      <c r="C206" s="2" t="inlineStr">
        <is>
          <t>s</t>
        </is>
      </c>
      <c r="D206" t="inlineStr">
        <is>
          <t>定海掌</t>
        </is>
      </c>
      <c r="E206" t="inlineStr">
        <is>
          <t>Oceanic Palm</t>
        </is>
      </c>
      <c r="F206" t="inlineStr">
        <is>
          <t>skill_name_middle26116</t>
        </is>
      </c>
    </row>
    <row r="207">
      <c r="A207" t="inlineStr">
        <is>
          <t>Dedo das Sete Estrelas</t>
        </is>
      </c>
      <c r="B207" s="2" t="inlineStr">
        <is>
          <t>m</t>
        </is>
      </c>
      <c r="C207" s="2" t="inlineStr">
        <is>
          <t>s</t>
        </is>
      </c>
      <c r="D207" t="inlineStr">
        <is>
          <t>七星指</t>
        </is>
      </c>
      <c r="E207" t="inlineStr">
        <is>
          <t>Seven Star Finger</t>
        </is>
      </c>
      <c r="F207" t="inlineStr">
        <is>
          <t>skill_name_middle27111</t>
        </is>
      </c>
    </row>
    <row r="208">
      <c r="A208" t="inlineStr">
        <is>
          <t>Dedo do Selo Demoníaco</t>
        </is>
      </c>
      <c r="B208" s="2" t="inlineStr">
        <is>
          <t>m</t>
        </is>
      </c>
      <c r="C208" s="2" t="inlineStr">
        <is>
          <t>s</t>
        </is>
      </c>
      <c r="D208" t="inlineStr">
        <is>
          <t>封魔指</t>
        </is>
      </c>
      <c r="E208" t="inlineStr">
        <is>
          <t>Demonseal Finger</t>
        </is>
      </c>
      <c r="F208" t="inlineStr">
        <is>
          <t>skill_name_middle27112</t>
        </is>
      </c>
    </row>
    <row r="209">
      <c r="A209" t="inlineStr">
        <is>
          <t>Explosão de Espírito do Vazio</t>
        </is>
      </c>
      <c r="B209" s="2" t="inlineStr">
        <is>
          <t>f</t>
        </is>
      </c>
      <c r="C209" s="2" t="inlineStr">
        <is>
          <t>s</t>
        </is>
      </c>
      <c r="D209" t="inlineStr">
        <is>
          <t>灵虚爆</t>
        </is>
      </c>
      <c r="E209" t="inlineStr">
        <is>
          <t>Void Spirit Blast</t>
        </is>
      </c>
      <c r="F209" t="inlineStr">
        <is>
          <t>skill_name_middle27113</t>
        </is>
      </c>
    </row>
    <row r="210">
      <c r="A210" t="inlineStr">
        <is>
          <t>Explosão do Selo do Espírito</t>
        </is>
      </c>
      <c r="B210" s="2" t="inlineStr">
        <is>
          <t>f</t>
        </is>
      </c>
      <c r="C210" s="2" t="inlineStr">
        <is>
          <t>s</t>
        </is>
      </c>
      <c r="D210" t="inlineStr">
        <is>
          <t>封灵爆</t>
        </is>
      </c>
      <c r="E210" t="inlineStr">
        <is>
          <t>Spirit Seal Blast</t>
        </is>
      </c>
      <c r="F210" t="inlineStr">
        <is>
          <t>skill_name_middle27114</t>
        </is>
      </c>
    </row>
    <row r="211">
      <c r="A211" t="inlineStr">
        <is>
          <t>Explosão Etérea</t>
        </is>
      </c>
      <c r="B211" s="2" t="inlineStr">
        <is>
          <t>f</t>
        </is>
      </c>
      <c r="C211" s="2" t="inlineStr">
        <is>
          <t>s</t>
        </is>
      </c>
      <c r="D211" t="inlineStr">
        <is>
          <t>幽空爆</t>
        </is>
      </c>
      <c r="E211" t="inlineStr">
        <is>
          <t>Ethereal Blast</t>
        </is>
      </c>
      <c r="F211" t="inlineStr">
        <is>
          <t>skill_name_middle27115</t>
        </is>
      </c>
    </row>
    <row r="212">
      <c r="A212" t="inlineStr">
        <is>
          <t>Dedo Sombrio</t>
        </is>
      </c>
      <c r="B212" s="2" t="inlineStr">
        <is>
          <t>m</t>
        </is>
      </c>
      <c r="C212" s="2" t="inlineStr">
        <is>
          <t>s</t>
        </is>
      </c>
      <c r="D212" t="inlineStr">
        <is>
          <t>灵影指</t>
        </is>
      </c>
      <c r="E212" t="inlineStr">
        <is>
          <t>Shadowy Finger</t>
        </is>
      </c>
      <c r="F212" t="inlineStr">
        <is>
          <t>skill_name_middle27116</t>
        </is>
      </c>
    </row>
    <row r="213">
      <c r="A213" t="inlineStr">
        <is>
          <t>Cortina Negra</t>
        </is>
      </c>
      <c r="B213" s="2" t="inlineStr">
        <is>
          <t>f</t>
        </is>
      </c>
      <c r="C213" s="2" t="inlineStr">
        <is>
          <t>s</t>
        </is>
      </c>
      <c r="D213" t="inlineStr">
        <is>
          <t>黑幕降临</t>
        </is>
      </c>
      <c r="E213" t="inlineStr">
        <is>
          <t>Black Curtain</t>
        </is>
      </c>
      <c r="F213" t="inlineStr">
        <is>
          <t>skill_name_middle2831</t>
        </is>
      </c>
    </row>
    <row r="214">
      <c r="A214" t="inlineStr">
        <is>
          <t>Jiuyin</t>
        </is>
      </c>
      <c r="B214" s="2" t="inlineStr">
        <is>
          <t>m</t>
        </is>
      </c>
      <c r="C214" s="2" t="inlineStr">
        <is>
          <t>s</t>
        </is>
      </c>
      <c r="D214" t="inlineStr">
        <is>
          <t>九阴</t>
        </is>
      </c>
      <c r="F214" t="inlineStr">
        <is>
          <t>skill_name_middle30011</t>
        </is>
      </c>
    </row>
    <row r="215">
      <c r="A215" t="inlineStr">
        <is>
          <t>Jiuyang</t>
        </is>
      </c>
      <c r="B215" s="2" t="inlineStr">
        <is>
          <t>m</t>
        </is>
      </c>
      <c r="C215" s="2" t="inlineStr">
        <is>
          <t>s</t>
        </is>
      </c>
      <c r="D215" t="inlineStr">
        <is>
          <t>九阳</t>
        </is>
      </c>
      <c r="F215" t="inlineStr">
        <is>
          <t>skill_name_middle30021</t>
        </is>
      </c>
    </row>
    <row r="216">
      <c r="A216" t="inlineStr">
        <is>
          <t>Prisioneiro do Céu</t>
        </is>
      </c>
      <c r="B216" s="2" t="inlineStr">
        <is>
          <t>m</t>
        </is>
      </c>
      <c r="C216" s="2" t="inlineStr">
        <is>
          <t>s</t>
        </is>
      </c>
      <c r="D216" t="inlineStr">
        <is>
          <t>囚天</t>
        </is>
      </c>
      <c r="F216" t="inlineStr">
        <is>
          <t>skill_name_middle30031</t>
        </is>
      </c>
    </row>
    <row r="217">
      <c r="A217" t="inlineStr">
        <is>
          <t>Lâmina Demoonfury</t>
        </is>
      </c>
      <c r="B217" s="2" t="inlineStr">
        <is>
          <t>f</t>
        </is>
      </c>
      <c r="C217" s="2" t="inlineStr">
        <is>
          <t>s</t>
        </is>
      </c>
      <c r="D217" t="inlineStr">
        <is>
          <t>魔煞刀</t>
        </is>
      </c>
      <c r="E217" t="inlineStr">
        <is>
          <t>Demoonfury Blade</t>
        </is>
      </c>
      <c r="F217" t="inlineStr">
        <is>
          <t>skill_name_middle32111</t>
        </is>
      </c>
    </row>
    <row r="218">
      <c r="A218" t="inlineStr">
        <is>
          <t>Corte Deicida</t>
        </is>
      </c>
      <c r="B218" s="2" t="inlineStr">
        <is>
          <t>m</t>
        </is>
      </c>
      <c r="C218" s="2" t="inlineStr">
        <is>
          <t>s</t>
        </is>
      </c>
      <c r="D218" t="inlineStr">
        <is>
          <t>灭神斩</t>
        </is>
      </c>
      <c r="E218" t="inlineStr">
        <is>
          <t>Deicide Cleave</t>
        </is>
      </c>
      <c r="F218" t="inlineStr">
        <is>
          <t>skill_name_middle321111</t>
        </is>
      </c>
    </row>
    <row r="219">
      <c r="A219" t="inlineStr">
        <is>
          <t>Corte Demoníaco</t>
        </is>
      </c>
      <c r="B219" s="2" t="inlineStr">
        <is>
          <t>m</t>
        </is>
      </c>
      <c r="C219" s="2" t="inlineStr">
        <is>
          <t>s</t>
        </is>
      </c>
      <c r="D219" t="inlineStr">
        <is>
          <t>魔刃斩</t>
        </is>
      </c>
      <c r="E219" t="inlineStr">
        <is>
          <t>Demonic Cleave</t>
        </is>
      </c>
      <c r="F219" t="inlineStr">
        <is>
          <t>skill_name_middle321112</t>
        </is>
      </c>
    </row>
    <row r="220">
      <c r="A220" t="inlineStr">
        <is>
          <t>Corte Dominador</t>
        </is>
      </c>
      <c r="B220" s="2" t="inlineStr">
        <is>
          <t>m</t>
        </is>
      </c>
      <c r="C220" s="2" t="inlineStr">
        <is>
          <t>s</t>
        </is>
      </c>
      <c r="D220" t="inlineStr">
        <is>
          <t>霸道斩</t>
        </is>
      </c>
      <c r="E220" t="inlineStr">
        <is>
          <t>Overbearing Cleave</t>
        </is>
      </c>
      <c r="F220" t="inlineStr">
        <is>
          <t>skill_name_middle32112</t>
        </is>
      </c>
    </row>
    <row r="221">
      <c r="A221" t="inlineStr">
        <is>
          <t>Lança Infernal</t>
        </is>
      </c>
      <c r="B221" s="2" t="inlineStr">
        <is>
          <t>f</t>
        </is>
      </c>
      <c r="C221" s="2" t="inlineStr">
        <is>
          <t>s</t>
        </is>
      </c>
      <c r="D221" t="inlineStr">
        <is>
          <t>鬼狱枪</t>
        </is>
      </c>
      <c r="E221" t="inlineStr">
        <is>
          <t>Hellspear</t>
        </is>
      </c>
      <c r="F221" t="inlineStr">
        <is>
          <t>skill_name_middle33111</t>
        </is>
      </c>
    </row>
    <row r="222">
      <c r="A222" t="inlineStr">
        <is>
          <t>Formação da Lança do Dragão</t>
        </is>
      </c>
      <c r="B222" s="2" t="inlineStr">
        <is>
          <t>f</t>
        </is>
      </c>
      <c r="C222" s="2" t="inlineStr">
        <is>
          <t>s</t>
        </is>
      </c>
      <c r="D222" t="inlineStr">
        <is>
          <t>天龙阵</t>
        </is>
      </c>
      <c r="E222" t="inlineStr">
        <is>
          <t>Dragon Spear Formation</t>
        </is>
      </c>
      <c r="F222" t="inlineStr">
        <is>
          <t>skill_name_middle33112</t>
        </is>
      </c>
    </row>
    <row r="223">
      <c r="A223" t="inlineStr">
        <is>
          <t>Espada da Queda Celeste</t>
        </is>
      </c>
      <c r="B223" s="2" t="inlineStr">
        <is>
          <t>f</t>
        </is>
      </c>
      <c r="C223" s="2" t="inlineStr">
        <is>
          <t>s</t>
        </is>
      </c>
      <c r="D223" t="inlineStr">
        <is>
          <t>骤天剑</t>
        </is>
      </c>
      <c r="E223" t="inlineStr">
        <is>
          <t>Skyfall Sword</t>
        </is>
      </c>
      <c r="F223" t="inlineStr">
        <is>
          <t>skill_name_middle34111</t>
        </is>
      </c>
    </row>
    <row r="224">
      <c r="A224" t="inlineStr">
        <is>
          <t>Espada da Divindade</t>
        </is>
      </c>
      <c r="B224" s="2" t="inlineStr">
        <is>
          <t>f</t>
        </is>
      </c>
      <c r="C224" s="2" t="inlineStr">
        <is>
          <t>s</t>
        </is>
      </c>
      <c r="D224" t="inlineStr">
        <is>
          <t>万神剑</t>
        </is>
      </c>
      <c r="E224" t="inlineStr">
        <is>
          <t>Divinity Sword</t>
        </is>
      </c>
      <c r="F224" t="inlineStr">
        <is>
          <t>skill_name_middle34112</t>
        </is>
      </c>
    </row>
    <row r="225">
      <c r="A225" t="inlineStr">
        <is>
          <t>Escudo do Senhor Supremo</t>
        </is>
      </c>
      <c r="B225" s="2" t="inlineStr">
        <is>
          <t>m</t>
        </is>
      </c>
      <c r="C225" s="2" t="inlineStr">
        <is>
          <t>s</t>
        </is>
      </c>
      <c r="D225" t="inlineStr">
        <is>
          <t>霸王盾</t>
        </is>
      </c>
      <c r="E225" t="inlineStr">
        <is>
          <t>Overlord's Shield</t>
        </is>
      </c>
      <c r="F225" t="inlineStr">
        <is>
          <t>skill_name_middle35111</t>
        </is>
      </c>
    </row>
    <row r="226">
      <c r="A226" t="inlineStr">
        <is>
          <t>Punho de Titã</t>
        </is>
      </c>
      <c r="B226" s="2" t="inlineStr">
        <is>
          <t>m</t>
        </is>
      </c>
      <c r="C226" s="2" t="inlineStr">
        <is>
          <t>s</t>
        </is>
      </c>
      <c r="D226" t="inlineStr">
        <is>
          <t>巨王拳</t>
        </is>
      </c>
      <c r="E226" t="inlineStr">
        <is>
          <t>Titan Fist</t>
        </is>
      </c>
      <c r="F226" t="inlineStr">
        <is>
          <t>skill_name_middle35112</t>
        </is>
      </c>
    </row>
    <row r="227">
      <c r="A227" t="inlineStr">
        <is>
          <t>Palma do Descanso Eterno</t>
        </is>
      </c>
      <c r="B227" s="2" t="inlineStr">
        <is>
          <t>f</t>
        </is>
      </c>
      <c r="C227" s="2" t="inlineStr">
        <is>
          <t>s</t>
        </is>
      </c>
      <c r="D227" t="inlineStr">
        <is>
          <t>归神掌</t>
        </is>
      </c>
      <c r="E227" t="inlineStr">
        <is>
          <t>Eternal Rest Palm</t>
        </is>
      </c>
      <c r="F227" t="inlineStr">
        <is>
          <t>skill_name_middle36111</t>
        </is>
      </c>
    </row>
    <row r="228">
      <c r="A228" t="inlineStr">
        <is>
          <t>Palma da Marca Demoníaca</t>
        </is>
      </c>
      <c r="B228" s="2" t="inlineStr">
        <is>
          <t>f</t>
        </is>
      </c>
      <c r="C228" s="2" t="inlineStr">
        <is>
          <t>s</t>
        </is>
      </c>
      <c r="D228" t="inlineStr">
        <is>
          <t>魔印掌</t>
        </is>
      </c>
      <c r="E228" t="inlineStr">
        <is>
          <t>Demonic Mark Palm</t>
        </is>
      </c>
      <c r="F228" t="inlineStr">
        <is>
          <t>skill_name_middle36112</t>
        </is>
      </c>
    </row>
    <row r="229">
      <c r="A229" t="inlineStr">
        <is>
          <t>Dedo da Rajada Espiritual</t>
        </is>
      </c>
      <c r="B229" s="2" t="inlineStr">
        <is>
          <t>m</t>
        </is>
      </c>
      <c r="C229" s="2" t="inlineStr">
        <is>
          <t>s</t>
        </is>
      </c>
      <c r="D229" t="inlineStr">
        <is>
          <t>冲虚指</t>
        </is>
      </c>
      <c r="E229" t="inlineStr">
        <is>
          <t>Spiritual Burst Finger</t>
        </is>
      </c>
      <c r="F229" t="inlineStr">
        <is>
          <t>skill_name_middle37111</t>
        </is>
      </c>
    </row>
    <row r="230">
      <c r="A230" t="inlineStr">
        <is>
          <t>Dedo do Pulso Divino</t>
        </is>
      </c>
      <c r="B230" s="2" t="inlineStr">
        <is>
          <t>m</t>
        </is>
      </c>
      <c r="C230" s="2" t="inlineStr">
        <is>
          <t>s</t>
        </is>
      </c>
      <c r="D230" t="inlineStr">
        <is>
          <t>神脉指</t>
        </is>
      </c>
      <c r="E230" t="inlineStr">
        <is>
          <t>Divine Pulse Finger</t>
        </is>
      </c>
      <c r="F230" t="inlineStr">
        <is>
          <t>skill_name_middle37112</t>
        </is>
      </c>
    </row>
    <row r="231">
      <c r="A231" t="inlineStr">
        <is>
          <t>Disparo de Fogo</t>
        </is>
      </c>
      <c r="B231" s="2" t="inlineStr">
        <is>
          <t>m</t>
        </is>
      </c>
      <c r="C231" s="2" t="inlineStr">
        <is>
          <t>s</t>
        </is>
      </c>
      <c r="D231" t="inlineStr">
        <is>
          <t>火丸术</t>
        </is>
      </c>
      <c r="E231" t="inlineStr">
        <is>
          <t>Firebolt</t>
        </is>
      </c>
      <c r="F231" t="inlineStr">
        <is>
          <t>skill_name_middle41111</t>
        </is>
      </c>
    </row>
    <row r="232">
      <c r="A232" t="inlineStr">
        <is>
          <t>Chama de Fogo</t>
        </is>
      </c>
      <c r="B232" s="2" t="inlineStr">
        <is>
          <t>f</t>
        </is>
      </c>
      <c r="C232" s="2" t="inlineStr">
        <is>
          <t>s</t>
        </is>
      </c>
      <c r="D232" t="inlineStr">
        <is>
          <t>焰火术</t>
        </is>
      </c>
      <c r="E232" t="inlineStr">
        <is>
          <t>Fire Flare</t>
        </is>
      </c>
      <c r="F232" t="inlineStr">
        <is>
          <t>skill_name_middle41112</t>
        </is>
      </c>
    </row>
    <row r="233">
      <c r="A233" t="inlineStr">
        <is>
          <t>Fogo Feroz</t>
        </is>
      </c>
      <c r="B233" s="2" t="inlineStr">
        <is>
          <t>m</t>
        </is>
      </c>
      <c r="C233" s="2" t="inlineStr">
        <is>
          <t>s</t>
        </is>
      </c>
      <c r="D233" t="inlineStr">
        <is>
          <t>豪火术</t>
        </is>
      </c>
      <c r="E233" t="inlineStr">
        <is>
          <t>Fierce Fire</t>
        </is>
      </c>
      <c r="F233" t="inlineStr">
        <is>
          <t>skill_name_middle41113</t>
        </is>
      </c>
    </row>
    <row r="234">
      <c r="A234" t="inlineStr">
        <is>
          <t>Água Espiritual</t>
        </is>
      </c>
      <c r="B234" s="2" t="inlineStr">
        <is>
          <t>f</t>
        </is>
      </c>
      <c r="C234" s="2" t="inlineStr">
        <is>
          <t>s</t>
        </is>
      </c>
      <c r="D234" t="inlineStr">
        <is>
          <t>水灵术</t>
        </is>
      </c>
      <c r="E234" t="inlineStr">
        <is>
          <t>Spiritual Water</t>
        </is>
      </c>
      <c r="F234" t="inlineStr">
        <is>
          <t>skill_name_middle42111</t>
        </is>
      </c>
    </row>
    <row r="235">
      <c r="A235" t="inlineStr">
        <is>
          <t>Torrente Espiritual</t>
        </is>
      </c>
      <c r="B235" s="2" t="inlineStr">
        <is>
          <t>m</t>
        </is>
      </c>
      <c r="C235" s="2" t="inlineStr">
        <is>
          <t>s</t>
        </is>
      </c>
      <c r="D235" t="inlineStr">
        <is>
          <t>灵流术</t>
        </is>
      </c>
      <c r="E235" t="inlineStr">
        <is>
          <t>Spiritual Torrent</t>
        </is>
      </c>
      <c r="F235" t="inlineStr">
        <is>
          <t>skill_name_middle42112</t>
        </is>
      </c>
    </row>
    <row r="236">
      <c r="A236" t="inlineStr">
        <is>
          <t>Explosão de Gelo</t>
        </is>
      </c>
      <c r="B236" s="2" t="inlineStr">
        <is>
          <t>f</t>
        </is>
      </c>
      <c r="C236" s="2" t="inlineStr">
        <is>
          <t>s</t>
        </is>
      </c>
      <c r="D236" t="inlineStr">
        <is>
          <t>冰晶爆</t>
        </is>
      </c>
      <c r="E236" t="inlineStr">
        <is>
          <t>Ice Blast</t>
        </is>
      </c>
      <c r="F236" t="inlineStr">
        <is>
          <t>skill_name_middle42113</t>
        </is>
      </c>
    </row>
    <row r="237">
      <c r="A237" t="inlineStr">
        <is>
          <t>Disparo Elétrico</t>
        </is>
      </c>
      <c r="B237" s="2" t="inlineStr">
        <is>
          <t>m</t>
        </is>
      </c>
      <c r="C237" s="2" t="inlineStr">
        <is>
          <t>s</t>
        </is>
      </c>
      <c r="D237" t="inlineStr">
        <is>
          <t>雷光术</t>
        </is>
      </c>
      <c r="E237" t="inlineStr">
        <is>
          <t>Voltshot</t>
        </is>
      </c>
      <c r="F237" t="inlineStr">
        <is>
          <t>skill_name_middle43111</t>
        </is>
      </c>
    </row>
    <row r="238">
      <c r="A238" t="inlineStr">
        <is>
          <t>Clarão de Relâmpago</t>
        </is>
      </c>
      <c r="B238" s="2" t="inlineStr">
        <is>
          <t>m</t>
        </is>
      </c>
      <c r="C238" s="2" t="inlineStr">
        <is>
          <t>s</t>
        </is>
      </c>
      <c r="D238" t="inlineStr">
        <is>
          <t>疾雷闪</t>
        </is>
      </c>
      <c r="E238" t="inlineStr">
        <is>
          <t>Lightning Flash</t>
        </is>
      </c>
      <c r="F238" t="inlineStr">
        <is>
          <t>skill_name_middle43112</t>
        </is>
      </c>
    </row>
    <row r="239">
      <c r="A239" t="inlineStr">
        <is>
          <t>Relâmpago Púrpura</t>
        </is>
      </c>
      <c r="B239" s="2" t="inlineStr">
        <is>
          <t>m</t>
        </is>
      </c>
      <c r="C239" s="2" t="inlineStr">
        <is>
          <t>s</t>
        </is>
      </c>
      <c r="D239" t="inlineStr">
        <is>
          <t>紫电闪</t>
        </is>
      </c>
      <c r="E239" t="inlineStr">
        <is>
          <t>Purple Lightning</t>
        </is>
      </c>
      <c r="F239" t="inlineStr">
        <is>
          <t>skill_name_middle43113</t>
        </is>
      </c>
    </row>
    <row r="240">
      <c r="A240" t="inlineStr">
        <is>
          <t>Raio de Vento</t>
        </is>
      </c>
      <c r="B240" s="2" t="inlineStr">
        <is>
          <t>m</t>
        </is>
      </c>
      <c r="C240" s="2" t="inlineStr">
        <is>
          <t>s</t>
        </is>
      </c>
      <c r="D240" t="inlineStr">
        <is>
          <t>风球术</t>
        </is>
      </c>
      <c r="E240" t="inlineStr">
        <is>
          <t>Wind Bolt</t>
        </is>
      </c>
      <c r="F240" t="inlineStr">
        <is>
          <t>skill_name_middle44111</t>
        </is>
      </c>
    </row>
    <row r="241">
      <c r="A241" t="inlineStr">
        <is>
          <t>Gume do Vento</t>
        </is>
      </c>
      <c r="B241" s="2" t="inlineStr">
        <is>
          <t>m</t>
        </is>
      </c>
      <c r="C241" s="2" t="inlineStr">
        <is>
          <t>s</t>
        </is>
      </c>
      <c r="D241" t="inlineStr">
        <is>
          <t>风刃术</t>
        </is>
      </c>
      <c r="E241" t="inlineStr">
        <is>
          <t>Wind Edge</t>
        </is>
      </c>
      <c r="F241" t="inlineStr">
        <is>
          <t>skill_name_middle44112</t>
        </is>
      </c>
    </row>
    <row r="242">
      <c r="A242" t="inlineStr">
        <is>
          <t>Corte do Vento</t>
        </is>
      </c>
      <c r="B242" s="2" t="inlineStr">
        <is>
          <t>m</t>
        </is>
      </c>
      <c r="C242" s="2" t="inlineStr">
        <is>
          <t>s</t>
        </is>
      </c>
      <c r="D242" t="inlineStr">
        <is>
          <t>风切术</t>
        </is>
      </c>
      <c r="E242" t="inlineStr">
        <is>
          <t>Windslice</t>
        </is>
      </c>
      <c r="F242" t="inlineStr">
        <is>
          <t>skill_name_middle44113</t>
        </is>
      </c>
    </row>
    <row r="243">
      <c r="A243" t="inlineStr">
        <is>
          <t>Raio da Terra</t>
        </is>
      </c>
      <c r="B243" s="2" t="inlineStr">
        <is>
          <t>m</t>
        </is>
      </c>
      <c r="C243" s="2" t="inlineStr">
        <is>
          <t>s</t>
        </is>
      </c>
      <c r="D243" t="inlineStr">
        <is>
          <t>土球术</t>
        </is>
      </c>
      <c r="E243" t="inlineStr">
        <is>
          <t>Earth Bolt</t>
        </is>
      </c>
      <c r="F243" t="inlineStr">
        <is>
          <t>skill_name_middle45111</t>
        </is>
      </c>
    </row>
    <row r="244">
      <c r="A244" t="inlineStr">
        <is>
          <t>Queda de Rochas</t>
        </is>
      </c>
      <c r="B244" s="2" t="inlineStr">
        <is>
          <t>f</t>
        </is>
      </c>
      <c r="C244" s="2" t="inlineStr">
        <is>
          <t>s</t>
        </is>
      </c>
      <c r="D244" t="inlineStr">
        <is>
          <t>落石术</t>
        </is>
      </c>
      <c r="E244" t="inlineStr">
        <is>
          <t>Falling Rock</t>
        </is>
      </c>
      <c r="F244" t="inlineStr">
        <is>
          <t>skill_name_middle45112</t>
        </is>
      </c>
    </row>
    <row r="245">
      <c r="A245" t="inlineStr">
        <is>
          <t>Terremoto</t>
        </is>
      </c>
      <c r="B245" s="2" t="inlineStr">
        <is>
          <t>m</t>
        </is>
      </c>
      <c r="C245" s="2" t="inlineStr">
        <is>
          <t>s</t>
        </is>
      </c>
      <c r="D245" t="inlineStr">
        <is>
          <t>震地术</t>
        </is>
      </c>
      <c r="E245" t="inlineStr">
        <is>
          <t>Earthquake</t>
        </is>
      </c>
      <c r="F245" t="inlineStr">
        <is>
          <t>skill_name_middle45113</t>
        </is>
      </c>
    </row>
    <row r="246">
      <c r="A246" t="inlineStr">
        <is>
          <t>Folha Espiritual</t>
        </is>
      </c>
      <c r="B246" s="2" t="inlineStr">
        <is>
          <t>f</t>
        </is>
      </c>
      <c r="C246" s="2" t="inlineStr">
        <is>
          <t>s</t>
        </is>
      </c>
      <c r="D246" t="inlineStr">
        <is>
          <t>灵叶术</t>
        </is>
      </c>
      <c r="E246" t="inlineStr">
        <is>
          <t>Spiritual Leaf</t>
        </is>
      </c>
      <c r="F246" t="inlineStr">
        <is>
          <t>skill_name_middle46111</t>
        </is>
      </c>
    </row>
    <row r="247">
      <c r="A247" t="inlineStr">
        <is>
          <t>Pétala Voadora</t>
        </is>
      </c>
      <c r="B247" s="2" t="inlineStr">
        <is>
          <t>f</t>
        </is>
      </c>
      <c r="C247" s="2" t="inlineStr">
        <is>
          <t>s</t>
        </is>
      </c>
      <c r="D247" t="inlineStr">
        <is>
          <t>飞花术</t>
        </is>
      </c>
      <c r="E247" t="inlineStr">
        <is>
          <t>Flying Petal</t>
        </is>
      </c>
      <c r="F247" t="inlineStr">
        <is>
          <t>skill_name_middle46112</t>
        </is>
      </c>
    </row>
    <row r="248">
      <c r="A248" t="inlineStr">
        <is>
          <t>Botão em flor</t>
        </is>
      </c>
      <c r="B248" s="2" t="inlineStr">
        <is>
          <t>m</t>
        </is>
      </c>
      <c r="C248" s="2" t="inlineStr">
        <is>
          <t>s</t>
        </is>
      </c>
      <c r="D248" t="inlineStr">
        <is>
          <t>绽花术</t>
        </is>
      </c>
      <c r="E248" t="inlineStr">
        <is>
          <t>Blooming Bud</t>
        </is>
      </c>
      <c r="F248" t="inlineStr">
        <is>
          <t>skill_name_middle46113</t>
        </is>
      </c>
    </row>
    <row r="249">
      <c r="A249" t="inlineStr">
        <is>
          <t>Fogo terrestre</t>
        </is>
      </c>
      <c r="B249" s="2" t="inlineStr">
        <is>
          <t>m</t>
        </is>
      </c>
      <c r="C249" s="2" t="inlineStr">
        <is>
          <t>s</t>
        </is>
      </c>
      <c r="D249" t="inlineStr">
        <is>
          <t>地火术</t>
        </is>
      </c>
      <c r="E249" t="inlineStr">
        <is>
          <t>Groundfire</t>
        </is>
      </c>
      <c r="F249" t="inlineStr">
        <is>
          <t>skill_name_middle51111</t>
        </is>
      </c>
    </row>
    <row r="250">
      <c r="A250" t="inlineStr">
        <is>
          <t>Tristeza do Fogo</t>
        </is>
      </c>
      <c r="B250" s="2" t="inlineStr">
        <is>
          <t>f</t>
        </is>
      </c>
      <c r="C250" s="2" t="inlineStr">
        <is>
          <t>s</t>
        </is>
      </c>
      <c r="D250" t="inlineStr">
        <is>
          <t>离火术</t>
        </is>
      </c>
      <c r="E250" t="inlineStr">
        <is>
          <t>Fire Sorrow</t>
        </is>
      </c>
      <c r="F250" t="inlineStr">
        <is>
          <t>skill_name_middle51112</t>
        </is>
      </c>
    </row>
    <row r="251">
      <c r="A251" t="inlineStr">
        <is>
          <t>Fogo Solar</t>
        </is>
      </c>
      <c r="B251" s="2" t="inlineStr">
        <is>
          <t>m</t>
        </is>
      </c>
      <c r="C251" s="2" t="inlineStr">
        <is>
          <t>s</t>
        </is>
      </c>
      <c r="D251" t="inlineStr">
        <is>
          <t>阳炎爆</t>
        </is>
      </c>
      <c r="E251" t="inlineStr">
        <is>
          <t>Sunfire</t>
        </is>
      </c>
      <c r="F251" t="inlineStr">
        <is>
          <t>skill_name_middle51113</t>
        </is>
      </c>
    </row>
    <row r="252">
      <c r="A252" t="inlineStr">
        <is>
          <t>Chama do Pecado</t>
        </is>
      </c>
      <c r="B252" s="2" t="inlineStr">
        <is>
          <t>f</t>
        </is>
      </c>
      <c r="C252" s="2" t="inlineStr">
        <is>
          <t>s</t>
        </is>
      </c>
      <c r="D252" t="inlineStr">
        <is>
          <t>业火术</t>
        </is>
      </c>
      <c r="E252" t="inlineStr">
        <is>
          <t>Sinful Flame</t>
        </is>
      </c>
      <c r="F252" t="inlineStr">
        <is>
          <t>skill_name_middle51114</t>
        </is>
      </c>
    </row>
    <row r="253">
      <c r="A253" t="inlineStr">
        <is>
          <t>Anel de Fogo</t>
        </is>
      </c>
      <c r="B253" s="2" t="inlineStr">
        <is>
          <t>m</t>
        </is>
      </c>
      <c r="C253" s="2" t="inlineStr">
        <is>
          <t>s</t>
        </is>
      </c>
      <c r="D253" t="inlineStr">
        <is>
          <t>火环术</t>
        </is>
      </c>
      <c r="E253" t="inlineStr">
        <is>
          <t>Fire Ring</t>
        </is>
      </c>
      <c r="F253" t="inlineStr">
        <is>
          <t>skill_name_middle51115</t>
        </is>
      </c>
    </row>
    <row r="254">
      <c r="A254" t="inlineStr">
        <is>
          <t>Cavaleiro do Fogo</t>
        </is>
      </c>
      <c r="B254" s="2" t="inlineStr">
        <is>
          <t>m</t>
        </is>
      </c>
      <c r="C254" s="2" t="inlineStr">
        <is>
          <t>s</t>
        </is>
      </c>
      <c r="D254" t="inlineStr">
        <is>
          <t>踏火术</t>
        </is>
      </c>
      <c r="E254" t="inlineStr">
        <is>
          <t>Firerider</t>
        </is>
      </c>
      <c r="F254" t="inlineStr">
        <is>
          <t>skill_name_middle51116</t>
        </is>
      </c>
    </row>
    <row r="255">
      <c r="A255" t="inlineStr">
        <is>
          <t>Punho de Fungos</t>
        </is>
      </c>
      <c r="B255" s="2" t="inlineStr">
        <is>
          <t>m</t>
        </is>
      </c>
      <c r="C255" s="2" t="inlineStr">
        <is>
          <t>s</t>
        </is>
      </c>
      <c r="D255" t="inlineStr">
        <is>
          <t>食我菇菇拳</t>
        </is>
      </c>
      <c r="E255" t="inlineStr">
        <is>
          <t>Fungi Fist</t>
        </is>
      </c>
      <c r="F255" t="inlineStr">
        <is>
          <t>skill_name_middle5151</t>
        </is>
      </c>
    </row>
    <row r="256">
      <c r="A256" t="inlineStr">
        <is>
          <t>Cogumelos Pequenos</t>
        </is>
      </c>
      <c r="B256" s="2" t="inlineStr">
        <is>
          <t>m</t>
        </is>
      </c>
      <c r="C256" s="2" t="inlineStr">
        <is>
          <t>p</t>
        </is>
      </c>
      <c r="D256" t="inlineStr">
        <is>
          <t>小菇小菇</t>
        </is>
      </c>
      <c r="E256" t="inlineStr">
        <is>
          <t>Little Mushrooms</t>
        </is>
      </c>
      <c r="F256" t="inlineStr">
        <is>
          <t>skill_name_middle5152</t>
        </is>
      </c>
    </row>
    <row r="257">
      <c r="A257" t="inlineStr">
        <is>
          <t>Cogumelos Grandes</t>
        </is>
      </c>
      <c r="B257" s="2" t="inlineStr">
        <is>
          <t>m</t>
        </is>
      </c>
      <c r="C257" s="2" t="inlineStr">
        <is>
          <t>p</t>
        </is>
      </c>
      <c r="D257" t="inlineStr">
        <is>
          <t>大菇大菇</t>
        </is>
      </c>
      <c r="E257" t="inlineStr">
        <is>
          <t>Large Mushrooms</t>
        </is>
      </c>
      <c r="F257" t="inlineStr">
        <is>
          <t>skill_name_middle5153</t>
        </is>
      </c>
    </row>
    <row r="258">
      <c r="A258" t="inlineStr">
        <is>
          <t>Almas Possessas</t>
        </is>
      </c>
      <c r="B258" s="2" t="inlineStr">
        <is>
          <t>f</t>
        </is>
      </c>
      <c r="C258" s="2" t="inlineStr">
        <is>
          <t>p</t>
        </is>
      </c>
      <c r="D258" t="inlineStr">
        <is>
          <t>生机分离</t>
        </is>
      </c>
      <c r="E258" t="inlineStr">
        <is>
          <t>Possessed Souls</t>
        </is>
      </c>
      <c r="F258" t="inlineStr">
        <is>
          <t>skill_name_middle5191</t>
        </is>
      </c>
    </row>
    <row r="259">
      <c r="A259" t="inlineStr">
        <is>
          <t>Explosão de Geada</t>
        </is>
      </c>
      <c r="B259" s="2" t="inlineStr">
        <is>
          <t>f</t>
        </is>
      </c>
      <c r="C259" s="2" t="inlineStr">
        <is>
          <t>s</t>
        </is>
      </c>
      <c r="D259" t="inlineStr">
        <is>
          <t>寒霜爆</t>
        </is>
      </c>
      <c r="E259" t="inlineStr">
        <is>
          <t>Frost Blast</t>
        </is>
      </c>
      <c r="F259" t="inlineStr">
        <is>
          <t>skill_name_middle52111</t>
        </is>
      </c>
    </row>
    <row r="260">
      <c r="A260" t="inlineStr">
        <is>
          <t>Aura Gélida</t>
        </is>
      </c>
      <c r="B260" s="2" t="inlineStr">
        <is>
          <t>f</t>
        </is>
      </c>
      <c r="C260" s="2" t="inlineStr">
        <is>
          <t>s</t>
        </is>
      </c>
      <c r="D260" t="inlineStr">
        <is>
          <t>冰气术</t>
        </is>
      </c>
      <c r="E260" t="inlineStr">
        <is>
          <t>Icy Aura</t>
        </is>
      </c>
      <c r="F260" t="inlineStr">
        <is>
          <t>skill_name_middle52112</t>
        </is>
      </c>
    </row>
    <row r="261">
      <c r="A261" t="inlineStr">
        <is>
          <t>Pingente de Gelo</t>
        </is>
      </c>
      <c r="B261" s="2" t="inlineStr">
        <is>
          <t>m</t>
        </is>
      </c>
      <c r="C261" s="2" t="inlineStr">
        <is>
          <t>s</t>
        </is>
      </c>
      <c r="D261" t="inlineStr">
        <is>
          <t>冰刺术</t>
        </is>
      </c>
      <c r="E261" t="inlineStr">
        <is>
          <t>Icicle</t>
        </is>
      </c>
      <c r="F261" t="inlineStr">
        <is>
          <t>skill_name_middle52113</t>
        </is>
      </c>
    </row>
    <row r="262">
      <c r="A262" t="inlineStr">
        <is>
          <t>Lâmina de Geada</t>
        </is>
      </c>
      <c r="B262" s="2" t="inlineStr">
        <is>
          <t>f</t>
        </is>
      </c>
      <c r="C262" s="2" t="inlineStr">
        <is>
          <t>s</t>
        </is>
      </c>
      <c r="D262" t="inlineStr">
        <is>
          <t>冰封术</t>
        </is>
      </c>
      <c r="E262" t="inlineStr">
        <is>
          <t>Frostbrand</t>
        </is>
      </c>
      <c r="F262" t="inlineStr">
        <is>
          <t>skill_name_middle52114</t>
        </is>
      </c>
    </row>
    <row r="263">
      <c r="A263" t="inlineStr">
        <is>
          <t>Explosão de Espírito Gélido</t>
        </is>
      </c>
      <c r="B263" s="2" t="inlineStr">
        <is>
          <t>f</t>
        </is>
      </c>
      <c r="C263" s="2" t="inlineStr">
        <is>
          <t>s</t>
        </is>
      </c>
      <c r="D263" t="inlineStr">
        <is>
          <t>霜灵爆</t>
        </is>
      </c>
      <c r="E263" t="inlineStr">
        <is>
          <t>Frost Spirit Blast</t>
        </is>
      </c>
      <c r="F263" t="inlineStr">
        <is>
          <t>skill_name_middle52115</t>
        </is>
      </c>
    </row>
    <row r="264">
      <c r="A264" t="inlineStr">
        <is>
          <t>Ceifador de Almas</t>
        </is>
      </c>
      <c r="B264" s="2" t="inlineStr">
        <is>
          <t>m</t>
        </is>
      </c>
      <c r="C264" s="2" t="inlineStr">
        <is>
          <t>s</t>
        </is>
      </c>
      <c r="D264" t="inlineStr">
        <is>
          <t>噬灵术</t>
        </is>
      </c>
      <c r="E264" t="inlineStr">
        <is>
          <t>Soulreaper</t>
        </is>
      </c>
      <c r="F264" t="inlineStr">
        <is>
          <t>skill_name_middle52116</t>
        </is>
      </c>
    </row>
    <row r="265">
      <c r="A265" t="inlineStr">
        <is>
          <t>Invocação do Trovão</t>
        </is>
      </c>
      <c r="B265" s="2" t="inlineStr">
        <is>
          <t>f</t>
        </is>
      </c>
      <c r="C265" s="2" t="inlineStr">
        <is>
          <t>s</t>
        </is>
      </c>
      <c r="D265" t="inlineStr">
        <is>
          <t>雷鸣术</t>
        </is>
      </c>
      <c r="E265" t="inlineStr">
        <is>
          <t>Thundercall</t>
        </is>
      </c>
      <c r="F265" t="inlineStr">
        <is>
          <t>skill_name_middle53111</t>
        </is>
      </c>
    </row>
    <row r="266">
      <c r="A266" t="inlineStr">
        <is>
          <t>Relâmpago Veloz</t>
        </is>
      </c>
      <c r="B266" s="2" t="inlineStr">
        <is>
          <t>m</t>
        </is>
      </c>
      <c r="C266" s="2" t="inlineStr">
        <is>
          <t>s</t>
        </is>
      </c>
      <c r="D266" t="inlineStr">
        <is>
          <t>奔雷术</t>
        </is>
      </c>
      <c r="E266" t="inlineStr">
        <is>
          <t>Dashing Lightning</t>
        </is>
      </c>
      <c r="F266" t="inlineStr">
        <is>
          <t>skill_name_middle53112</t>
        </is>
      </c>
    </row>
    <row r="267">
      <c r="A267" t="inlineStr">
        <is>
          <t>Nuvem de Relâmpagos</t>
        </is>
      </c>
      <c r="B267" s="2" t="inlineStr">
        <is>
          <t>m</t>
        </is>
      </c>
      <c r="C267" s="2" t="inlineStr">
        <is>
          <t>s</t>
        </is>
      </c>
      <c r="D267" t="inlineStr">
        <is>
          <t>雷云术</t>
        </is>
      </c>
      <c r="E267" t="inlineStr">
        <is>
          <t>Lightning Cloud</t>
        </is>
      </c>
      <c r="F267" t="inlineStr">
        <is>
          <t>skill_name_middle53113</t>
        </is>
      </c>
    </row>
    <row r="268">
      <c r="A268" t="inlineStr">
        <is>
          <t>Relâmpago Sombrio</t>
        </is>
      </c>
      <c r="B268" s="2" t="inlineStr">
        <is>
          <t>m</t>
        </is>
      </c>
      <c r="C268" s="2" t="inlineStr">
        <is>
          <t>s</t>
        </is>
      </c>
      <c r="D268" t="inlineStr">
        <is>
          <t>暗雷术</t>
        </is>
      </c>
      <c r="E268" t="inlineStr">
        <is>
          <t>Dark Lightning</t>
        </is>
      </c>
      <c r="F268" t="inlineStr">
        <is>
          <t>skill_name_middle53114</t>
        </is>
      </c>
    </row>
    <row r="269">
      <c r="A269" t="inlineStr">
        <is>
          <t>Colapso do Relâmpago</t>
        </is>
      </c>
      <c r="B269" s="2" t="inlineStr">
        <is>
          <t>m</t>
        </is>
      </c>
      <c r="C269" s="2" t="inlineStr">
        <is>
          <t>s</t>
        </is>
      </c>
      <c r="D269" t="inlineStr">
        <is>
          <t>落雷阵</t>
        </is>
      </c>
      <c r="E269" t="inlineStr">
        <is>
          <t>Lightning Crash</t>
        </is>
      </c>
      <c r="F269" t="inlineStr">
        <is>
          <t>skill_name_middle53115</t>
        </is>
      </c>
    </row>
    <row r="270">
      <c r="A270" t="inlineStr">
        <is>
          <t>Relâmpago Espiritual</t>
        </is>
      </c>
      <c r="B270" s="2" t="inlineStr">
        <is>
          <t>m</t>
        </is>
      </c>
      <c r="C270" s="2" t="inlineStr">
        <is>
          <t>s</t>
        </is>
      </c>
      <c r="D270" t="inlineStr">
        <is>
          <t>灵雷术</t>
        </is>
      </c>
      <c r="E270" t="inlineStr">
        <is>
          <t>Spiritual Lightning</t>
        </is>
      </c>
      <c r="F270" t="inlineStr">
        <is>
          <t>skill_name_middle53116</t>
        </is>
      </c>
    </row>
    <row r="271">
      <c r="A271" t="inlineStr">
        <is>
          <t>Amarras do Vento</t>
        </is>
      </c>
      <c r="B271" s="2" t="inlineStr">
        <is>
          <t>f</t>
        </is>
      </c>
      <c r="C271" s="2" t="inlineStr">
        <is>
          <t>p</t>
        </is>
      </c>
      <c r="D271" t="inlineStr">
        <is>
          <t>风缚术</t>
        </is>
      </c>
      <c r="E271" t="inlineStr">
        <is>
          <t>Windbound</t>
        </is>
      </c>
      <c r="F271" t="inlineStr">
        <is>
          <t>skill_name_middle54111</t>
        </is>
      </c>
    </row>
    <row r="272">
      <c r="A272" t="inlineStr">
        <is>
          <t>Rugido do Vento</t>
        </is>
      </c>
      <c r="B272" s="2" t="inlineStr">
        <is>
          <t>m</t>
        </is>
      </c>
      <c r="C272" s="2" t="inlineStr">
        <is>
          <t>s</t>
        </is>
      </c>
      <c r="D272" t="inlineStr">
        <is>
          <t>风啸术</t>
        </is>
      </c>
      <c r="E272" t="inlineStr">
        <is>
          <t>Wind Roar</t>
        </is>
      </c>
      <c r="F272" t="inlineStr">
        <is>
          <t>skill_name_middle54112</t>
        </is>
      </c>
    </row>
    <row r="273">
      <c r="A273" t="inlineStr">
        <is>
          <t>Tempestade de Areia</t>
        </is>
      </c>
      <c r="B273" s="2" t="inlineStr">
        <is>
          <t>f</t>
        </is>
      </c>
      <c r="C273" s="2" t="inlineStr">
        <is>
          <t>s</t>
        </is>
      </c>
      <c r="D273" t="inlineStr">
        <is>
          <t>飞沙术</t>
        </is>
      </c>
      <c r="E273" t="inlineStr">
        <is>
          <t>Sandstorm</t>
        </is>
      </c>
      <c r="F273" t="inlineStr">
        <is>
          <t>skill_name_middle54113</t>
        </is>
      </c>
    </row>
    <row r="274">
      <c r="A274" t="inlineStr">
        <is>
          <t>Vento Selvagem</t>
        </is>
      </c>
      <c r="B274" s="2" t="inlineStr">
        <is>
          <t>m</t>
        </is>
      </c>
      <c r="C274" s="2" t="inlineStr">
        <is>
          <t>s</t>
        </is>
      </c>
      <c r="D274" t="inlineStr">
        <is>
          <t>狂风术</t>
        </is>
      </c>
      <c r="E274" t="inlineStr">
        <is>
          <t>Wild Wind</t>
        </is>
      </c>
      <c r="F274" t="inlineStr">
        <is>
          <t>skill_name_middle54114</t>
        </is>
      </c>
    </row>
    <row r="275">
      <c r="A275" t="inlineStr">
        <is>
          <t>Vento Devastador</t>
        </is>
      </c>
      <c r="B275" s="2" t="inlineStr">
        <is>
          <t>m</t>
        </is>
      </c>
      <c r="C275" s="2" t="inlineStr">
        <is>
          <t>s</t>
        </is>
      </c>
      <c r="D275" t="inlineStr">
        <is>
          <t>掠风术</t>
        </is>
      </c>
      <c r="E275" t="inlineStr">
        <is>
          <t>Reaving Wind</t>
        </is>
      </c>
      <c r="F275" t="inlineStr">
        <is>
          <t>skill_name_middle54115</t>
        </is>
      </c>
    </row>
    <row r="276">
      <c r="A276" t="inlineStr">
        <is>
          <t>Vento Varredor</t>
        </is>
      </c>
      <c r="B276" s="2" t="inlineStr">
        <is>
          <t>m</t>
        </is>
      </c>
      <c r="C276" s="2" t="inlineStr">
        <is>
          <t>s</t>
        </is>
      </c>
      <c r="D276" t="inlineStr">
        <is>
          <t>风瘴术</t>
        </is>
      </c>
      <c r="E276" t="inlineStr">
        <is>
          <t>Sweeping Wind</t>
        </is>
      </c>
      <c r="F276" t="inlineStr">
        <is>
          <t>skill_name_middle54116</t>
        </is>
      </c>
    </row>
    <row r="277">
      <c r="A277" t="inlineStr">
        <is>
          <t>Onda sísmica</t>
        </is>
      </c>
      <c r="B277" s="2" t="inlineStr">
        <is>
          <t>f</t>
        </is>
      </c>
      <c r="C277" s="2" t="inlineStr">
        <is>
          <t>s</t>
        </is>
      </c>
      <c r="D277" t="inlineStr">
        <is>
          <t>震地波</t>
        </is>
      </c>
      <c r="E277" t="inlineStr">
        <is>
          <t>Seismic Wave</t>
        </is>
      </c>
      <c r="F277" t="inlineStr">
        <is>
          <t>skill_name_middle55111</t>
        </is>
      </c>
    </row>
    <row r="278">
      <c r="A278" t="inlineStr">
        <is>
          <t>Queda de Meteoros</t>
        </is>
      </c>
      <c r="B278" s="2" t="inlineStr">
        <is>
          <t>f</t>
        </is>
      </c>
      <c r="C278" s="2" t="inlineStr">
        <is>
          <t>s</t>
        </is>
      </c>
      <c r="D278" t="inlineStr">
        <is>
          <t>陨石阵</t>
        </is>
      </c>
      <c r="E278" t="inlineStr">
        <is>
          <t>Meteorfall</t>
        </is>
      </c>
      <c r="F278" t="inlineStr">
        <is>
          <t>skill_name_middle55112</t>
        </is>
      </c>
    </row>
    <row r="279">
      <c r="A279" t="inlineStr">
        <is>
          <t>Rocha Rolante</t>
        </is>
      </c>
      <c r="B279" s="2" t="inlineStr">
        <is>
          <t>f</t>
        </is>
      </c>
      <c r="C279" s="2" t="inlineStr">
        <is>
          <t>s</t>
        </is>
      </c>
      <c r="D279" t="inlineStr">
        <is>
          <t>滚岩术</t>
        </is>
      </c>
      <c r="E279" t="inlineStr">
        <is>
          <t>Rolling Rock</t>
        </is>
      </c>
      <c r="F279" t="inlineStr">
        <is>
          <t>skill_name_middle55113</t>
        </is>
      </c>
    </row>
    <row r="280">
      <c r="A280" t="inlineStr">
        <is>
          <t>Fantoche de Rocha</t>
        </is>
      </c>
      <c r="B280" s="2" t="inlineStr">
        <is>
          <t>m</t>
        </is>
      </c>
      <c r="C280" s="2" t="inlineStr">
        <is>
          <t>s</t>
        </is>
      </c>
      <c r="D280" t="inlineStr">
        <is>
          <t>石傀术</t>
        </is>
      </c>
      <c r="E280" t="inlineStr">
        <is>
          <t>Rock Puppet</t>
        </is>
      </c>
      <c r="F280" t="inlineStr">
        <is>
          <t>skill_name_middle55114</t>
        </is>
      </c>
    </row>
    <row r="281">
      <c r="A281" t="inlineStr">
        <is>
          <t>Areia Movediça</t>
        </is>
      </c>
      <c r="B281" s="2" t="inlineStr">
        <is>
          <t>f</t>
        </is>
      </c>
      <c r="C281" s="2" t="inlineStr">
        <is>
          <t>s</t>
        </is>
      </c>
      <c r="D281" t="inlineStr">
        <is>
          <t>流沙术</t>
        </is>
      </c>
      <c r="E281" t="inlineStr">
        <is>
          <t>Quicksand</t>
        </is>
      </c>
      <c r="F281" t="inlineStr">
        <is>
          <t>skill_name_middle55115</t>
        </is>
      </c>
    </row>
    <row r="282">
      <c r="A282" t="inlineStr">
        <is>
          <t>Formação de Rochas</t>
        </is>
      </c>
      <c r="B282" s="2" t="inlineStr">
        <is>
          <t>f</t>
        </is>
      </c>
      <c r="C282" s="2" t="inlineStr">
        <is>
          <t>s</t>
        </is>
      </c>
      <c r="D282" t="inlineStr">
        <is>
          <t>聚石阵</t>
        </is>
      </c>
      <c r="E282" t="inlineStr">
        <is>
          <t>Rock Formation</t>
        </is>
      </c>
      <c r="F282" t="inlineStr">
        <is>
          <t>skill_name_middle55116</t>
        </is>
      </c>
    </row>
    <row r="283">
      <c r="A283" t="inlineStr">
        <is>
          <t>Espinho Enredante</t>
        </is>
      </c>
      <c r="B283" s="2" t="inlineStr">
        <is>
          <t>m</t>
        </is>
      </c>
      <c r="C283" s="2" t="inlineStr">
        <is>
          <t>s</t>
        </is>
      </c>
      <c r="D283" t="inlineStr">
        <is>
          <t>荆棘术</t>
        </is>
      </c>
      <c r="E283" t="inlineStr">
        <is>
          <t>Entangling Thorn</t>
        </is>
      </c>
      <c r="F283" t="inlineStr">
        <is>
          <t>skill_name_middle56111</t>
        </is>
      </c>
    </row>
    <row r="284">
      <c r="A284" t="inlineStr">
        <is>
          <t>Energia Primordial</t>
        </is>
      </c>
      <c r="B284" s="2" t="inlineStr">
        <is>
          <t>f</t>
        </is>
      </c>
      <c r="C284" s="2" t="inlineStr">
        <is>
          <t>s</t>
        </is>
      </c>
      <c r="D284" t="inlineStr">
        <is>
          <t>活元术</t>
        </is>
      </c>
      <c r="E284" t="inlineStr">
        <is>
          <t>Primal Energy</t>
        </is>
      </c>
      <c r="F284" t="inlineStr">
        <is>
          <t>skill_name_middle56112</t>
        </is>
      </c>
    </row>
    <row r="285">
      <c r="A285" t="inlineStr">
        <is>
          <t>Pântano Venenoso</t>
        </is>
      </c>
      <c r="B285" s="2" t="inlineStr">
        <is>
          <t>m</t>
        </is>
      </c>
      <c r="C285" s="2" t="inlineStr">
        <is>
          <t>s</t>
        </is>
      </c>
      <c r="D285" t="inlineStr">
        <is>
          <t>毒沼术</t>
        </is>
      </c>
      <c r="E285" t="inlineStr">
        <is>
          <t>Poisonous Marsh</t>
        </is>
      </c>
      <c r="F285" t="inlineStr">
        <is>
          <t>skill_name_middle56113</t>
        </is>
      </c>
    </row>
    <row r="286">
      <c r="A286" t="inlineStr">
        <is>
          <t>Espírito Vital</t>
        </is>
      </c>
      <c r="B286" s="2" t="inlineStr">
        <is>
          <t>m</t>
        </is>
      </c>
      <c r="C286" s="2" t="inlineStr">
        <is>
          <t>s</t>
        </is>
      </c>
      <c r="D286" t="inlineStr">
        <is>
          <t>活灵术</t>
        </is>
      </c>
      <c r="E286" t="inlineStr">
        <is>
          <t>Floral Spirit</t>
        </is>
      </c>
      <c r="F286" t="inlineStr">
        <is>
          <t>skill_name_middle56114</t>
        </is>
      </c>
    </row>
    <row r="287">
      <c r="A287" t="inlineStr">
        <is>
          <t>Plantas venenosas</t>
        </is>
      </c>
      <c r="B287" s="2" t="inlineStr">
        <is>
          <t>f</t>
        </is>
      </c>
      <c r="C287" s="2" t="inlineStr">
        <is>
          <t>p</t>
        </is>
      </c>
      <c r="D287" t="inlineStr">
        <is>
          <t>毒株术</t>
        </is>
      </c>
      <c r="E287" t="inlineStr">
        <is>
          <t>Poisonous Plants</t>
        </is>
      </c>
      <c r="F287" t="inlineStr">
        <is>
          <t>skill_name_middle56115</t>
        </is>
      </c>
    </row>
    <row r="288">
      <c r="A288" t="inlineStr">
        <is>
          <t>Espírito Espinhoso</t>
        </is>
      </c>
      <c r="B288" s="2" t="inlineStr">
        <is>
          <t>m</t>
        </is>
      </c>
      <c r="C288" s="2" t="inlineStr">
        <is>
          <t>s</t>
        </is>
      </c>
      <c r="D288" t="inlineStr">
        <is>
          <t>活力术</t>
        </is>
      </c>
      <c r="E288" t="inlineStr">
        <is>
          <t>Thorny Spirit</t>
        </is>
      </c>
      <c r="F288" t="inlineStr">
        <is>
          <t>skill_name_middle56116</t>
        </is>
      </c>
    </row>
    <row r="289">
      <c r="A289" t="inlineStr">
        <is>
          <t>Núcleo de Fogo</t>
        </is>
      </c>
      <c r="B289" s="2" t="inlineStr">
        <is>
          <t>m</t>
        </is>
      </c>
      <c r="C289" s="2" t="inlineStr">
        <is>
          <t>s</t>
        </is>
      </c>
      <c r="D289" t="inlineStr">
        <is>
          <t>神火核</t>
        </is>
      </c>
      <c r="E289" t="inlineStr">
        <is>
          <t>Fire Core</t>
        </is>
      </c>
      <c r="F289" t="inlineStr">
        <is>
          <t>skill_name_middle61111</t>
        </is>
      </c>
    </row>
    <row r="290">
      <c r="A290" t="inlineStr">
        <is>
          <t>Fênix de Fogo</t>
        </is>
      </c>
      <c r="B290" s="2" t="inlineStr">
        <is>
          <t>f</t>
        </is>
      </c>
      <c r="C290" s="2" t="inlineStr">
        <is>
          <t>s</t>
        </is>
      </c>
      <c r="D290" t="inlineStr">
        <is>
          <t>烈火凤</t>
        </is>
      </c>
      <c r="E290" t="inlineStr">
        <is>
          <t>Fire Phoenix</t>
        </is>
      </c>
      <c r="F290" t="inlineStr">
        <is>
          <t>skill_name_middle61112</t>
        </is>
      </c>
    </row>
    <row r="291">
      <c r="A291" t="inlineStr">
        <is>
          <t>Olhar Gélido Celestial</t>
        </is>
      </c>
      <c r="B291" s="2" t="inlineStr">
        <is>
          <t>m</t>
        </is>
      </c>
      <c r="C291" s="2" t="inlineStr">
        <is>
          <t>s</t>
        </is>
      </c>
      <c r="D291" t="inlineStr">
        <is>
          <t>冰天眼</t>
        </is>
      </c>
      <c r="E291" t="inlineStr">
        <is>
          <t>Heavenly Icy Eye</t>
        </is>
      </c>
      <c r="F291" t="inlineStr">
        <is>
          <t>skill_name_middle62111</t>
        </is>
      </c>
    </row>
    <row r="292">
      <c r="A292" t="inlineStr">
        <is>
          <t>Inundação Espiritual</t>
        </is>
      </c>
      <c r="B292" s="2" t="inlineStr">
        <is>
          <t>f</t>
        </is>
      </c>
      <c r="C292" s="2" t="inlineStr">
        <is>
          <t>s</t>
        </is>
      </c>
      <c r="D292" t="inlineStr">
        <is>
          <t>覆灵雨</t>
        </is>
      </c>
      <c r="E292" t="inlineStr">
        <is>
          <t>Spiritual Flood</t>
        </is>
      </c>
      <c r="F292" t="inlineStr">
        <is>
          <t>skill_name_middle62112</t>
        </is>
      </c>
    </row>
    <row r="293">
      <c r="A293" t="inlineStr">
        <is>
          <t>Retribuição do Relâmpago</t>
        </is>
      </c>
      <c r="B293" s="2" t="inlineStr">
        <is>
          <t>f</t>
        </is>
      </c>
      <c r="C293" s="2" t="inlineStr">
        <is>
          <t>s</t>
        </is>
      </c>
      <c r="D293" t="inlineStr">
        <is>
          <t>天雷劫</t>
        </is>
      </c>
      <c r="E293" t="inlineStr">
        <is>
          <t>Lightning Retribution</t>
        </is>
      </c>
      <c r="F293" t="inlineStr">
        <is>
          <t>skill_name_middle63111</t>
        </is>
      </c>
    </row>
    <row r="294">
      <c r="A294" t="inlineStr">
        <is>
          <t>Punição Trovejante</t>
        </is>
      </c>
      <c r="B294" s="2" t="inlineStr">
        <is>
          <t>f</t>
        </is>
      </c>
      <c r="C294" s="2" t="inlineStr">
        <is>
          <t>s</t>
        </is>
      </c>
      <c r="D294" t="inlineStr">
        <is>
          <t>雷罚阵</t>
        </is>
      </c>
      <c r="E294" t="inlineStr">
        <is>
          <t>Thunderous Punishment</t>
        </is>
      </c>
      <c r="F294" t="inlineStr">
        <is>
          <t>skill_name_middle63112</t>
        </is>
      </c>
    </row>
    <row r="295">
      <c r="A295" t="inlineStr">
        <is>
          <t>Tempestade Ártica</t>
        </is>
      </c>
      <c r="B295" s="2" t="inlineStr">
        <is>
          <t>f</t>
        </is>
      </c>
      <c r="C295" s="2" t="inlineStr">
        <is>
          <t>s</t>
        </is>
      </c>
      <c r="D295" t="inlineStr">
        <is>
          <t>极风暴</t>
        </is>
      </c>
      <c r="E295" t="inlineStr">
        <is>
          <t>Arctic Storm</t>
        </is>
      </c>
      <c r="F295" t="inlineStr">
        <is>
          <t>skill_name_middle64111</t>
        </is>
      </c>
    </row>
    <row r="296">
      <c r="A296" t="inlineStr">
        <is>
          <t>Campo de Vento Temporal</t>
        </is>
      </c>
      <c r="B296" s="2" t="inlineStr">
        <is>
          <t>m</t>
        </is>
      </c>
      <c r="C296" s="2" t="inlineStr">
        <is>
          <t>s</t>
        </is>
      </c>
      <c r="D296" t="inlineStr">
        <is>
          <t>逆空界</t>
        </is>
      </c>
      <c r="E296" t="inlineStr">
        <is>
          <t>Temporal Wind Field</t>
        </is>
      </c>
      <c r="F296" t="inlineStr">
        <is>
          <t>skill_name_middle64112</t>
        </is>
      </c>
    </row>
    <row r="297">
      <c r="A297" t="inlineStr">
        <is>
          <t>Gume de Vento Ártico</t>
        </is>
      </c>
      <c r="B297" s="2" t="inlineStr">
        <is>
          <t>m</t>
        </is>
      </c>
      <c r="C297" s="2" t="inlineStr">
        <is>
          <t>s</t>
        </is>
      </c>
      <c r="D297" t="inlineStr">
        <is>
          <t>极风刃</t>
        </is>
      </c>
      <c r="E297" t="inlineStr">
        <is>
          <t>Arctic Windedge</t>
        </is>
      </c>
      <c r="F297" t="inlineStr">
        <is>
          <t>skill_name_middle641121</t>
        </is>
      </c>
    </row>
    <row r="298">
      <c r="A298" t="inlineStr">
        <is>
          <t>Queda da Terra</t>
        </is>
      </c>
      <c r="B298" s="2" t="inlineStr">
        <is>
          <t>f</t>
        </is>
      </c>
      <c r="C298" s="2" t="inlineStr">
        <is>
          <t>s</t>
        </is>
      </c>
      <c r="D298" t="inlineStr">
        <is>
          <t>裂山崩</t>
        </is>
      </c>
      <c r="E298" t="inlineStr">
        <is>
          <t>Earthfall</t>
        </is>
      </c>
      <c r="F298" t="inlineStr">
        <is>
          <t>skill_name_middle65111</t>
        </is>
      </c>
    </row>
    <row r="299">
      <c r="A299" t="inlineStr">
        <is>
          <t>Gigante do Espírito</t>
        </is>
      </c>
      <c r="B299" s="2" t="inlineStr">
        <is>
          <t>m</t>
        </is>
      </c>
      <c r="C299" s="2" t="inlineStr">
        <is>
          <t>s</t>
        </is>
      </c>
      <c r="D299" t="inlineStr">
        <is>
          <t>巨灵神</t>
        </is>
      </c>
      <c r="E299" t="inlineStr">
        <is>
          <t>Spirit Giant</t>
        </is>
      </c>
      <c r="F299" t="inlineStr">
        <is>
          <t>skill_name_middle65112</t>
        </is>
      </c>
    </row>
    <row r="300">
      <c r="A300" t="inlineStr">
        <is>
          <t>Flor do Dragão Venenosa</t>
        </is>
      </c>
      <c r="B300" s="2" t="inlineStr">
        <is>
          <t>f</t>
        </is>
      </c>
      <c r="C300" s="2" t="inlineStr">
        <is>
          <t>s</t>
        </is>
      </c>
      <c r="D300" t="inlineStr">
        <is>
          <t>毒龙花</t>
        </is>
      </c>
      <c r="E300" t="inlineStr">
        <is>
          <t>Poisonous Dragon Flower</t>
        </is>
      </c>
      <c r="F300" t="inlineStr">
        <is>
          <t>skill_name_middle66111</t>
        </is>
      </c>
    </row>
    <row r="301">
      <c r="A301" t="inlineStr">
        <is>
          <t>Rainha Fada das Flores</t>
        </is>
      </c>
      <c r="B301" s="2" t="inlineStr">
        <is>
          <t>f</t>
        </is>
      </c>
      <c r="C301" s="2" t="inlineStr">
        <is>
          <t>s</t>
        </is>
      </c>
      <c r="D301" t="inlineStr">
        <is>
          <t>花妖后</t>
        </is>
      </c>
      <c r="E301" t="inlineStr">
        <is>
          <t>Flower Faerie Queen</t>
        </is>
      </c>
      <c r="F301" t="inlineStr">
        <is>
          <t>skill_name_middle66112</t>
        </is>
      </c>
    </row>
    <row r="302">
      <c r="A302" t="inlineStr">
        <is>
          <t>Conta de Raposa</t>
        </is>
      </c>
      <c r="B302" s="2" t="inlineStr">
        <is>
          <t>f</t>
        </is>
      </c>
      <c r="C302" s="2" t="inlineStr">
        <is>
          <t>s</t>
        </is>
      </c>
      <c r="D302" t="inlineStr">
        <is>
          <t>狐灵宝珠</t>
        </is>
      </c>
      <c r="E302" t="inlineStr">
        <is>
          <t>Fox Bead</t>
        </is>
      </c>
      <c r="F302" t="inlineStr">
        <is>
          <t>skill_name_middle7051</t>
        </is>
      </c>
    </row>
    <row r="303">
      <c r="A303" t="inlineStr">
        <is>
          <t>Fogo Frio da Raposa</t>
        </is>
      </c>
      <c r="B303" s="2" t="inlineStr">
        <is>
          <t>m</t>
        </is>
      </c>
      <c r="C303" s="2" t="inlineStr">
        <is>
          <t>s</t>
        </is>
      </c>
      <c r="D303" t="inlineStr">
        <is>
          <t>狐灵冷火</t>
        </is>
      </c>
      <c r="E303" t="inlineStr">
        <is>
          <t>Fox Cold Fire</t>
        </is>
      </c>
      <c r="F303" t="inlineStr">
        <is>
          <t>skill_name_middle7052</t>
        </is>
      </c>
    </row>
    <row r="304">
      <c r="A304" t="inlineStr">
        <is>
          <t>Inferno Vulpino</t>
        </is>
      </c>
      <c r="B304" s="2" t="inlineStr">
        <is>
          <t>m</t>
        </is>
      </c>
      <c r="C304" s="2" t="inlineStr">
        <is>
          <t>s</t>
        </is>
      </c>
      <c r="D304" t="inlineStr">
        <is>
          <t>狐唤妖火</t>
        </is>
      </c>
      <c r="E304" t="inlineStr">
        <is>
          <t>Vulpine Inferno</t>
        </is>
      </c>
      <c r="F304" t="inlineStr">
        <is>
          <t>skill_name_middle7053</t>
        </is>
      </c>
    </row>
    <row r="305">
      <c r="A305" t="inlineStr">
        <is>
          <t>Chuva de Chamas Explosivas</t>
        </is>
      </c>
      <c r="B305" s="2" t="inlineStr">
        <is>
          <t>f</t>
        </is>
      </c>
      <c r="C305" s="2" t="inlineStr">
        <is>
          <t>s</t>
        </is>
      </c>
      <c r="D305" t="inlineStr">
        <is>
          <t>妖炎散落</t>
        </is>
      </c>
      <c r="E305" t="inlineStr">
        <is>
          <t>Blast Flame Rain</t>
        </is>
      </c>
      <c r="F305" t="inlineStr">
        <is>
          <t>skill_name_middle7054</t>
        </is>
      </c>
    </row>
    <row r="306">
      <c r="A306" t="inlineStr">
        <is>
          <t>Carga Rápida</t>
        </is>
      </c>
      <c r="B306" s="2" t="inlineStr">
        <is>
          <t>f</t>
        </is>
      </c>
      <c r="C306" s="2" t="inlineStr">
        <is>
          <t>s</t>
        </is>
      </c>
      <c r="D306" t="inlineStr">
        <is>
          <t>迅影</t>
        </is>
      </c>
      <c r="E306" t="inlineStr">
        <is>
          <t>Rapid Charge</t>
        </is>
      </c>
      <c r="F306" t="inlineStr">
        <is>
          <t>skill_name_middle7111</t>
        </is>
      </c>
    </row>
    <row r="307">
      <c r="A307" t="inlineStr">
        <is>
          <t>Galopante</t>
        </is>
      </c>
      <c r="B307" s="2" t="inlineStr">
        <is>
          <t>m</t>
        </is>
      </c>
      <c r="C307" s="2" t="inlineStr">
        <is>
          <t>s</t>
        </is>
      </c>
      <c r="D307" t="inlineStr">
        <is>
          <t>风驰电掣</t>
        </is>
      </c>
      <c r="E307" t="inlineStr">
        <is>
          <t>Galloping</t>
        </is>
      </c>
      <c r="F307" t="inlineStr">
        <is>
          <t>skill_name_middle7113</t>
        </is>
      </c>
    </row>
    <row r="308">
      <c r="A308" t="inlineStr">
        <is>
          <t>Lâmina de Vento</t>
        </is>
      </c>
      <c r="B308" s="2" t="inlineStr">
        <is>
          <t>f</t>
        </is>
      </c>
      <c r="C308" s="2" t="inlineStr">
        <is>
          <t>s</t>
        </is>
      </c>
      <c r="D308" t="inlineStr">
        <is>
          <t>地煞风刃</t>
        </is>
      </c>
      <c r="E308" t="inlineStr">
        <is>
          <t>Wind Blade</t>
        </is>
      </c>
      <c r="F308" t="inlineStr">
        <is>
          <t>skill_name_middle7121</t>
        </is>
      </c>
    </row>
    <row r="309">
      <c r="A309" t="inlineStr">
        <is>
          <t>Feitiço Impuro</t>
        </is>
      </c>
      <c r="B309" s="2" t="inlineStr">
        <is>
          <t>m</t>
        </is>
      </c>
      <c r="C309" s="2" t="inlineStr">
        <is>
          <t>s</t>
        </is>
      </c>
      <c r="D309" t="inlineStr">
        <is>
          <t>不清不净决</t>
        </is>
      </c>
      <c r="E309" t="inlineStr">
        <is>
          <t>Unclean Spell</t>
        </is>
      </c>
      <c r="F309" t="inlineStr">
        <is>
          <t>skill_name_middle7122</t>
        </is>
      </c>
    </row>
    <row r="310">
      <c r="A310" t="inlineStr">
        <is>
          <t>Machado Giratório</t>
        </is>
      </c>
      <c r="B310" s="2" t="inlineStr">
        <is>
          <t>m</t>
        </is>
      </c>
      <c r="C310" s="2" t="inlineStr">
        <is>
          <t>s</t>
        </is>
      </c>
      <c r="D310" t="inlineStr">
        <is>
          <t>旋转飞斧</t>
        </is>
      </c>
      <c r="E310" t="inlineStr">
        <is>
          <t>Swirling Axe</t>
        </is>
      </c>
      <c r="F310" t="inlineStr">
        <is>
          <t>skill_name_middle7126</t>
        </is>
      </c>
    </row>
    <row r="311">
      <c r="A311" t="inlineStr">
        <is>
          <t>Pequeno Redemoinho</t>
        </is>
      </c>
      <c r="B311" s="2" t="inlineStr">
        <is>
          <t>m</t>
        </is>
      </c>
      <c r="C311" s="2" t="inlineStr">
        <is>
          <t>s</t>
        </is>
      </c>
      <c r="D311" t="inlineStr">
        <is>
          <t>小旋风</t>
        </is>
      </c>
      <c r="E311" t="inlineStr">
        <is>
          <t>Little Whirlwind</t>
        </is>
      </c>
      <c r="F311" t="inlineStr">
        <is>
          <t>skill_name_middle713166</t>
        </is>
      </c>
    </row>
    <row r="312">
      <c r="A312" t="inlineStr">
        <is>
          <t>Precisão incomparável</t>
        </is>
      </c>
      <c r="B312" s="2" t="inlineStr">
        <is>
          <t>f</t>
        </is>
      </c>
      <c r="C312" s="2" t="inlineStr">
        <is>
          <t>s</t>
        </is>
      </c>
      <c r="D312" t="inlineStr">
        <is>
          <t>百步穿杨</t>
        </is>
      </c>
      <c r="E312" t="inlineStr">
        <is>
          <t>Unrivaled Accuracy</t>
        </is>
      </c>
      <c r="F312" t="inlineStr">
        <is>
          <t>skill_name_middle7141</t>
        </is>
      </c>
    </row>
    <row r="313">
      <c r="A313" t="inlineStr">
        <is>
          <t>Tração total</t>
        </is>
      </c>
      <c r="B313" s="2" t="inlineStr">
        <is>
          <t>f</t>
        </is>
      </c>
      <c r="C313" s="2" t="inlineStr">
        <is>
          <t>s</t>
        </is>
      </c>
      <c r="D313" t="inlineStr">
        <is>
          <t>满弓疾射</t>
        </is>
      </c>
      <c r="E313" t="inlineStr">
        <is>
          <t>Full Draw</t>
        </is>
      </c>
      <c r="F313" t="inlineStr">
        <is>
          <t>skill_name_middle7142</t>
        </is>
      </c>
    </row>
    <row r="314">
      <c r="A314" t="inlineStr">
        <is>
          <t>Chuva de Flechas</t>
        </is>
      </c>
      <c r="B314" s="2" t="inlineStr">
        <is>
          <t>f</t>
        </is>
      </c>
      <c r="C314" s="2" t="inlineStr">
        <is>
          <t>s</t>
        </is>
      </c>
      <c r="D314" t="inlineStr">
        <is>
          <t>箭雨</t>
        </is>
      </c>
      <c r="E314" t="inlineStr">
        <is>
          <t>Rain of Arrows</t>
        </is>
      </c>
      <c r="F314" t="inlineStr">
        <is>
          <t>skill_name_middle7143</t>
        </is>
      </c>
    </row>
    <row r="315">
      <c r="A315" t="inlineStr">
        <is>
          <t>Comandante da Fera</t>
        </is>
      </c>
      <c r="B315" s="2" t="inlineStr">
        <is>
          <t>m</t>
        </is>
      </c>
      <c r="C315" s="2" t="inlineStr">
        <is>
          <t>s</t>
        </is>
      </c>
      <c r="D315" t="inlineStr">
        <is>
          <t>御妖奇技</t>
        </is>
      </c>
      <c r="E315" t="inlineStr">
        <is>
          <t>Beast Commander</t>
        </is>
      </c>
      <c r="F315" t="inlineStr">
        <is>
          <t>skill_name_middle7144</t>
        </is>
      </c>
    </row>
    <row r="316">
      <c r="A316" t="inlineStr">
        <is>
          <t>Estilhaçamento Cruzado</t>
        </is>
      </c>
      <c r="B316" s="2" t="inlineStr">
        <is>
          <t>m</t>
        </is>
      </c>
      <c r="C316" s="2" t="inlineStr">
        <is>
          <t>s</t>
        </is>
      </c>
      <c r="D316" t="inlineStr">
        <is>
          <t>交叉粉碎</t>
        </is>
      </c>
      <c r="E316" t="inlineStr">
        <is>
          <t>Cross Shatter</t>
        </is>
      </c>
      <c r="F316" t="inlineStr">
        <is>
          <t>skill_name_middle7151</t>
        </is>
      </c>
    </row>
    <row r="317">
      <c r="A317" t="inlineStr">
        <is>
          <t>Pântano Tóxico</t>
        </is>
      </c>
      <c r="B317" s="2" t="inlineStr">
        <is>
          <t>m</t>
        </is>
      </c>
      <c r="C317" s="2" t="inlineStr">
        <is>
          <t>s</t>
        </is>
      </c>
      <c r="D317" t="inlineStr">
        <is>
          <t>剧毒沼泽</t>
        </is>
      </c>
      <c r="E317" t="inlineStr">
        <is>
          <t>Toxic Swamp</t>
        </is>
      </c>
      <c r="F317" t="inlineStr">
        <is>
          <t>skill_name_middle7152</t>
        </is>
      </c>
    </row>
    <row r="318">
      <c r="A318" t="inlineStr">
        <is>
          <t>Parede Fortificante</t>
        </is>
      </c>
      <c r="B318" s="2" t="inlineStr">
        <is>
          <t>f</t>
        </is>
      </c>
      <c r="C318" s="2" t="inlineStr">
        <is>
          <t>s</t>
        </is>
      </c>
      <c r="D318" t="inlineStr">
        <is>
          <t>固元之壁</t>
        </is>
      </c>
      <c r="E318" t="inlineStr">
        <is>
          <t>Fortifying Wall</t>
        </is>
      </c>
      <c r="F318" t="inlineStr">
        <is>
          <t>skill_name_middle7153</t>
        </is>
      </c>
    </row>
    <row r="319">
      <c r="A319" t="inlineStr">
        <is>
          <t>Golpe de Escavação</t>
        </is>
      </c>
      <c r="B319" s="2" t="inlineStr">
        <is>
          <t>m</t>
        </is>
      </c>
      <c r="C319" s="2" t="inlineStr">
        <is>
          <t>s</t>
        </is>
      </c>
      <c r="D319" t="inlineStr">
        <is>
          <t>掘地一击</t>
        </is>
      </c>
      <c r="E319" t="inlineStr">
        <is>
          <t>Dig Strike</t>
        </is>
      </c>
      <c r="F319" t="inlineStr">
        <is>
          <t>skill_name_middle7154</t>
        </is>
      </c>
    </row>
    <row r="320">
      <c r="A320" t="inlineStr">
        <is>
          <t>Sopro Ardente</t>
        </is>
      </c>
      <c r="B320" s="2" t="inlineStr">
        <is>
          <t>m</t>
        </is>
      </c>
      <c r="C320" s="2" t="inlineStr">
        <is>
          <t>s</t>
        </is>
      </c>
      <c r="D320" t="inlineStr">
        <is>
          <t>炽焰之息</t>
        </is>
      </c>
      <c r="E320" t="inlineStr">
        <is>
          <t>Fiery Breath</t>
        </is>
      </c>
      <c r="F320" t="inlineStr">
        <is>
          <t>skill_name_middle7161</t>
        </is>
      </c>
    </row>
    <row r="321">
      <c r="A321" t="inlineStr">
        <is>
          <t>Vento escaldante</t>
        </is>
      </c>
      <c r="B321" s="2" t="inlineStr">
        <is>
          <t>m</t>
        </is>
      </c>
      <c r="C321" s="2" t="inlineStr">
        <is>
          <t>s</t>
        </is>
      </c>
      <c r="D321" t="inlineStr">
        <is>
          <t>炙热之风</t>
        </is>
      </c>
      <c r="E321" t="inlineStr">
        <is>
          <t>Scorching Wind</t>
        </is>
      </c>
      <c r="F321" t="inlineStr">
        <is>
          <t>skill_name_middle7162</t>
        </is>
      </c>
    </row>
    <row r="322">
      <c r="A322" t="inlineStr">
        <is>
          <t>Caminho Carbonizado</t>
        </is>
      </c>
      <c r="B322" s="2" t="inlineStr">
        <is>
          <t>m</t>
        </is>
      </c>
      <c r="C322" s="2" t="inlineStr">
        <is>
          <t>s</t>
        </is>
      </c>
      <c r="D322" t="inlineStr">
        <is>
          <t>永灼之路</t>
        </is>
      </c>
      <c r="E322" t="inlineStr">
        <is>
          <t>Seared Path</t>
        </is>
      </c>
      <c r="F322" t="inlineStr">
        <is>
          <t>skill_name_middle7163</t>
        </is>
      </c>
    </row>
    <row r="323">
      <c r="A323" t="inlineStr">
        <is>
          <t>Explosão de Chamas</t>
        </is>
      </c>
      <c r="B323" s="2" t="inlineStr">
        <is>
          <t>f</t>
        </is>
      </c>
      <c r="C323" s="2" t="inlineStr">
        <is>
          <t>s</t>
        </is>
      </c>
      <c r="D323" t="inlineStr">
        <is>
          <t>火元喷发</t>
        </is>
      </c>
      <c r="E323" t="inlineStr">
        <is>
          <t>Burst of Flames</t>
        </is>
      </c>
      <c r="F323" t="inlineStr">
        <is>
          <t>skill_name_middle7171</t>
        </is>
      </c>
    </row>
    <row r="324">
      <c r="A324" t="inlineStr">
        <is>
          <t>Penas de Fogo</t>
        </is>
      </c>
      <c r="B324" s="2" t="inlineStr">
        <is>
          <t>f</t>
        </is>
      </c>
      <c r="C324" s="2" t="inlineStr">
        <is>
          <t>p</t>
        </is>
      </c>
      <c r="D324" t="inlineStr">
        <is>
          <t>漫天火羽</t>
        </is>
      </c>
      <c r="E324" t="inlineStr">
        <is>
          <t>Fire Feathers</t>
        </is>
      </c>
      <c r="F324" t="inlineStr">
        <is>
          <t>skill_name_middle7172</t>
        </is>
      </c>
    </row>
    <row r="325">
      <c r="A325" t="inlineStr">
        <is>
          <t>Folhas farfalhando</t>
        </is>
      </c>
      <c r="B325" s="2" t="inlineStr">
        <is>
          <t>f</t>
        </is>
      </c>
      <c r="C325" s="2" t="inlineStr">
        <is>
          <t>p</t>
        </is>
      </c>
      <c r="D325" t="inlineStr">
        <is>
          <t>风吹草动</t>
        </is>
      </c>
      <c r="E325" t="inlineStr">
        <is>
          <t>Rustling Leaves</t>
        </is>
      </c>
      <c r="F325" t="inlineStr">
        <is>
          <t>skill_name_middle7191</t>
        </is>
      </c>
    </row>
    <row r="326">
      <c r="A326" t="inlineStr">
        <is>
          <t>Vagalumes flutuantes</t>
        </is>
      </c>
      <c r="B326" s="2" t="inlineStr">
        <is>
          <t>m</t>
        </is>
      </c>
      <c r="C326" s="2" t="inlineStr">
        <is>
          <t>p</t>
        </is>
      </c>
      <c r="D326" t="inlineStr">
        <is>
          <t>萤火之眠</t>
        </is>
      </c>
      <c r="E326" t="inlineStr">
        <is>
          <t>Floating Fireflies</t>
        </is>
      </c>
      <c r="F326" t="inlineStr">
        <is>
          <t>skill_name_middle7192</t>
        </is>
      </c>
    </row>
    <row r="327">
      <c r="A327" t="inlineStr">
        <is>
          <t>Gravidade Floral</t>
        </is>
      </c>
      <c r="B327" s="2" t="inlineStr">
        <is>
          <t>f</t>
        </is>
      </c>
      <c r="C327" s="2" t="inlineStr">
        <is>
          <t>s</t>
        </is>
      </c>
      <c r="D327" t="inlineStr">
        <is>
          <t>草木牵引</t>
        </is>
      </c>
      <c r="E327" t="inlineStr">
        <is>
          <t>Flora Gravity</t>
        </is>
      </c>
      <c r="F327" t="inlineStr">
        <is>
          <t>skill_name_middle7194</t>
        </is>
      </c>
    </row>
    <row r="328">
      <c r="A328" t="inlineStr">
        <is>
          <t>Servos Florais</t>
        </is>
      </c>
      <c r="B328" s="2" t="inlineStr">
        <is>
          <t>m</t>
        </is>
      </c>
      <c r="C328" s="2" t="inlineStr">
        <is>
          <t>p</t>
        </is>
      </c>
      <c r="D328" t="inlineStr">
        <is>
          <t>草木皆兵</t>
        </is>
      </c>
      <c r="E328" t="inlineStr">
        <is>
          <t>Flora Minions</t>
        </is>
      </c>
      <c r="F328" t="inlineStr">
        <is>
          <t>skill_name_middle7195</t>
        </is>
      </c>
    </row>
    <row r="329">
      <c r="A329" t="inlineStr">
        <is>
          <t>Arco Elétrico</t>
        </is>
      </c>
      <c r="B329" s="2" t="inlineStr">
        <is>
          <t>m</t>
        </is>
      </c>
      <c r="C329" s="2" t="inlineStr">
        <is>
          <t>s</t>
        </is>
      </c>
      <c r="D329" t="inlineStr">
        <is>
          <t>弧光闪</t>
        </is>
      </c>
      <c r="E329" t="inlineStr">
        <is>
          <t>Arc Flash</t>
        </is>
      </c>
      <c r="F329" t="inlineStr">
        <is>
          <t>skill_name_middle7201</t>
        </is>
      </c>
    </row>
    <row r="330">
      <c r="A330" t="inlineStr">
        <is>
          <t>Ferroada de Coatl</t>
        </is>
      </c>
      <c r="B330" s="2" t="inlineStr">
        <is>
          <t>f</t>
        </is>
      </c>
      <c r="C330" s="2" t="inlineStr">
        <is>
          <t>s</t>
        </is>
      </c>
      <c r="D330" t="inlineStr">
        <is>
          <t>鸣蛇突刺</t>
        </is>
      </c>
      <c r="E330" t="inlineStr">
        <is>
          <t>Coatl's Sting</t>
        </is>
      </c>
      <c r="F330" t="inlineStr">
        <is>
          <t>skill_name_middle7202</t>
        </is>
      </c>
    </row>
    <row r="331">
      <c r="A331" t="inlineStr">
        <is>
          <t>Devoração Mental</t>
        </is>
      </c>
      <c r="B331" s="2" t="inlineStr">
        <is>
          <t>f</t>
        </is>
      </c>
      <c r="C331" s="2" t="inlineStr">
        <is>
          <t>s</t>
        </is>
      </c>
      <c r="D331" t="inlineStr">
        <is>
          <t>摄神咒</t>
        </is>
      </c>
      <c r="E331" t="inlineStr">
        <is>
          <t>Mind Devour</t>
        </is>
      </c>
      <c r="F331" t="inlineStr">
        <is>
          <t>skill_name_middle7203</t>
        </is>
      </c>
    </row>
    <row r="332">
      <c r="A332" t="inlineStr">
        <is>
          <t>Relâmpago Rastreador de Almas</t>
        </is>
      </c>
      <c r="B332" s="2" t="inlineStr">
        <is>
          <t>m</t>
        </is>
      </c>
      <c r="C332" s="2" t="inlineStr">
        <is>
          <t>s</t>
        </is>
      </c>
      <c r="D332" t="inlineStr">
        <is>
          <t>追魂电闪</t>
        </is>
      </c>
      <c r="E332" t="inlineStr">
        <is>
          <t>Soul Tracking Lightning</t>
        </is>
      </c>
      <c r="F332" t="inlineStr">
        <is>
          <t>skill_name_middle7204</t>
        </is>
      </c>
    </row>
    <row r="333">
      <c r="A333" t="inlineStr">
        <is>
          <t>Rajada de Vento que Racha a Terra</t>
        </is>
      </c>
      <c r="B333" s="2" t="inlineStr">
        <is>
          <t>f</t>
        </is>
      </c>
      <c r="C333" s="2" t="inlineStr">
        <is>
          <t>s</t>
        </is>
      </c>
      <c r="D333" t="inlineStr">
        <is>
          <t>裂地风斩</t>
        </is>
      </c>
      <c r="E333" t="inlineStr">
        <is>
          <t>Earth Rending Gale</t>
        </is>
      </c>
      <c r="F333" t="inlineStr">
        <is>
          <t>skill_name_middle7211</t>
        </is>
      </c>
    </row>
    <row r="334">
      <c r="A334" t="inlineStr">
        <is>
          <t>Tornado de Areia</t>
        </is>
      </c>
      <c r="B334" s="2" t="inlineStr">
        <is>
          <t>m</t>
        </is>
      </c>
      <c r="C334" s="2" t="inlineStr">
        <is>
          <t>s</t>
        </is>
      </c>
      <c r="D334" t="inlineStr">
        <is>
          <t>漫卷狂沙</t>
        </is>
      </c>
      <c r="E334" t="inlineStr">
        <is>
          <t>Sand Tornado</t>
        </is>
      </c>
      <c r="F334" t="inlineStr">
        <is>
          <t>skill_name_middle7212</t>
        </is>
      </c>
    </row>
    <row r="335">
      <c r="A335" t="inlineStr">
        <is>
          <t>Fúria Destrutiva</t>
        </is>
      </c>
      <c r="B335" s="2" t="inlineStr">
        <is>
          <t>f</t>
        </is>
      </c>
      <c r="C335" s="2" t="inlineStr">
        <is>
          <t>s</t>
        </is>
      </c>
      <c r="D335" t="inlineStr">
        <is>
          <t>野蛮冲撞</t>
        </is>
      </c>
      <c r="E335" t="inlineStr">
        <is>
          <t>Rampage</t>
        </is>
      </c>
      <c r="F335" t="inlineStr">
        <is>
          <t>skill_name_middle7213</t>
        </is>
      </c>
    </row>
    <row r="336">
      <c r="A336" t="inlineStr">
        <is>
          <t>Rajada de Vento Impetuosa</t>
        </is>
      </c>
      <c r="B336" s="2" t="inlineStr">
        <is>
          <t>f</t>
        </is>
      </c>
      <c r="C336" s="2" t="inlineStr">
        <is>
          <t>s</t>
        </is>
      </c>
      <c r="D336" t="inlineStr">
        <is>
          <t>烈风喷涌</t>
        </is>
      </c>
      <c r="E336" t="inlineStr">
        <is>
          <t>Gust Gush</t>
        </is>
      </c>
      <c r="F336" t="inlineStr">
        <is>
          <t>skill_name_middle7214</t>
        </is>
      </c>
    </row>
    <row r="337">
      <c r="A337" t="inlineStr">
        <is>
          <t>Bola de Fogo Escaldante</t>
        </is>
      </c>
      <c r="B337" s="2" t="inlineStr">
        <is>
          <t>f</t>
        </is>
      </c>
      <c r="C337" s="2" t="inlineStr">
        <is>
          <t>s</t>
        </is>
      </c>
      <c r="D337" t="inlineStr">
        <is>
          <t>烈阳火丸</t>
        </is>
      </c>
      <c r="E337" t="inlineStr">
        <is>
          <t>Scorching Fireball</t>
        </is>
      </c>
      <c r="F337" t="inlineStr">
        <is>
          <t>skill_name_middle7221</t>
        </is>
      </c>
    </row>
    <row r="338">
      <c r="A338" t="inlineStr">
        <is>
          <t>Bandeira do Fogo</t>
        </is>
      </c>
      <c r="B338" s="2" t="inlineStr">
        <is>
          <t>f</t>
        </is>
      </c>
      <c r="C338" s="2" t="inlineStr">
        <is>
          <t>s</t>
        </is>
      </c>
      <c r="D338" t="inlineStr">
        <is>
          <t>炎域之旗</t>
        </is>
      </c>
      <c r="E338" t="inlineStr">
        <is>
          <t>Fireland Banner</t>
        </is>
      </c>
      <c r="F338" t="inlineStr">
        <is>
          <t>skill_name_middle7222</t>
        </is>
      </c>
    </row>
    <row r="339">
      <c r="A339" t="inlineStr">
        <is>
          <t>Chuva de Fogo</t>
        </is>
      </c>
      <c r="B339" s="2" t="inlineStr">
        <is>
          <t>f</t>
        </is>
      </c>
      <c r="C339" s="2" t="inlineStr">
        <is>
          <t>s</t>
        </is>
      </c>
      <c r="D339" t="inlineStr">
        <is>
          <t>天降火雨</t>
        </is>
      </c>
      <c r="E339" t="inlineStr">
        <is>
          <t>Fire Rain</t>
        </is>
      </c>
      <c r="F339" t="inlineStr">
        <is>
          <t>skill_name_middle7223</t>
        </is>
      </c>
    </row>
    <row r="340">
      <c r="A340" t="inlineStr">
        <is>
          <t>Cinturão Ardente</t>
        </is>
      </c>
      <c r="B340" s="2" t="inlineStr">
        <is>
          <t>m</t>
        </is>
      </c>
      <c r="C340" s="2" t="inlineStr">
        <is>
          <t>s</t>
        </is>
      </c>
      <c r="D340" t="inlineStr">
        <is>
          <t>炙炎之环</t>
        </is>
      </c>
      <c r="E340" t="inlineStr">
        <is>
          <t>Burning Belt</t>
        </is>
      </c>
      <c r="F340" t="inlineStr">
        <is>
          <t>skill_name_middle7224</t>
        </is>
      </c>
    </row>
    <row r="341">
      <c r="A341" t="inlineStr">
        <is>
          <t>Tentáculos do Leviatã</t>
        </is>
      </c>
      <c r="B341" s="2" t="inlineStr">
        <is>
          <t>m</t>
        </is>
      </c>
      <c r="C341" s="2" t="inlineStr">
        <is>
          <t>p</t>
        </is>
      </c>
      <c r="D341" t="inlineStr">
        <is>
          <t>何罗之触</t>
        </is>
      </c>
      <c r="E341" t="inlineStr">
        <is>
          <t>Leviathan Tentacles</t>
        </is>
      </c>
      <c r="F341" t="inlineStr">
        <is>
          <t>skill_name_middle7251</t>
        </is>
      </c>
    </row>
    <row r="342">
      <c r="A342" t="inlineStr">
        <is>
          <t>Tentáculos do Alto</t>
        </is>
      </c>
      <c r="B342" s="2" t="inlineStr">
        <is>
          <t>m</t>
        </is>
      </c>
      <c r="C342" s="2" t="inlineStr">
        <is>
          <t>p</t>
        </is>
      </c>
      <c r="D342" t="inlineStr">
        <is>
          <t>漫天疾触</t>
        </is>
      </c>
      <c r="E342" t="inlineStr">
        <is>
          <t>Tentacles from Above</t>
        </is>
      </c>
      <c r="F342" t="inlineStr">
        <is>
          <t>skill_name_middle7261</t>
        </is>
      </c>
    </row>
    <row r="343">
      <c r="A343" t="inlineStr">
        <is>
          <t>Feixes de Água</t>
        </is>
      </c>
      <c r="B343" s="2" t="inlineStr">
        <is>
          <t>m</t>
        </is>
      </c>
      <c r="C343" s="2" t="inlineStr">
        <is>
          <t>p</t>
        </is>
      </c>
      <c r="D343" t="inlineStr">
        <is>
          <t>水元猛射</t>
        </is>
      </c>
      <c r="E343" t="inlineStr">
        <is>
          <t>Water Beams</t>
        </is>
      </c>
      <c r="F343" t="inlineStr">
        <is>
          <t>skill_name_middle7271</t>
        </is>
      </c>
    </row>
    <row r="344">
      <c r="A344" t="inlineStr">
        <is>
          <t>Atacar a presa</t>
        </is>
      </c>
      <c r="B344" s="2" t="inlineStr">
        <is>
          <t>m</t>
        </is>
      </c>
      <c r="C344" s="2" t="inlineStr">
        <is>
          <t>s</t>
        </is>
      </c>
      <c r="D344" t="inlineStr">
        <is>
          <t>急速扑击</t>
        </is>
      </c>
      <c r="E344" t="inlineStr">
        <is>
          <t>Pounce on Prey</t>
        </is>
      </c>
      <c r="F344" t="inlineStr">
        <is>
          <t>skill_name_middle7281</t>
        </is>
      </c>
    </row>
    <row r="345">
      <c r="A345" t="inlineStr">
        <is>
          <t>Veias de Chama</t>
        </is>
      </c>
      <c r="B345" s="2" t="inlineStr">
        <is>
          <t>f</t>
        </is>
      </c>
      <c r="C345" s="2" t="inlineStr">
        <is>
          <t>p</t>
        </is>
      </c>
      <c r="D345" t="inlineStr">
        <is>
          <t>火脉爆发</t>
        </is>
      </c>
      <c r="E345" t="inlineStr">
        <is>
          <t>Veins of Flame</t>
        </is>
      </c>
      <c r="F345" t="inlineStr">
        <is>
          <t>skill_name_middle7282</t>
        </is>
      </c>
    </row>
    <row r="346">
      <c r="A346" t="inlineStr">
        <is>
          <t>Círculo da Chama</t>
        </is>
      </c>
      <c r="B346" s="2" t="inlineStr">
        <is>
          <t>m</t>
        </is>
      </c>
      <c r="C346" s="2" t="inlineStr">
        <is>
          <t>s</t>
        </is>
      </c>
      <c r="D346" t="inlineStr">
        <is>
          <t>炎环随身</t>
        </is>
      </c>
      <c r="E346" t="inlineStr">
        <is>
          <t>Flame Circle</t>
        </is>
      </c>
      <c r="F346" t="inlineStr">
        <is>
          <t>skill_name_middle7283</t>
        </is>
      </c>
    </row>
    <row r="347">
      <c r="A347" t="inlineStr">
        <is>
          <t>Espíritos do Fogo</t>
        </is>
      </c>
      <c r="B347" s="2" t="inlineStr">
        <is>
          <t>m</t>
        </is>
      </c>
      <c r="C347" s="2" t="inlineStr">
        <is>
          <t>p</t>
        </is>
      </c>
      <c r="D347" t="inlineStr">
        <is>
          <t>火灵生息</t>
        </is>
      </c>
      <c r="E347" t="inlineStr">
        <is>
          <t>Fire Spirits</t>
        </is>
      </c>
      <c r="F347" t="inlineStr">
        <is>
          <t>skill_name_middle7285</t>
        </is>
      </c>
    </row>
    <row r="348">
      <c r="A348" t="inlineStr">
        <is>
          <t>Chicotadas</t>
        </is>
      </c>
      <c r="B348" s="2" t="inlineStr">
        <is>
          <t>f</t>
        </is>
      </c>
      <c r="C348" s="2" t="inlineStr">
        <is>
          <t>p</t>
        </is>
      </c>
      <c r="D348" t="inlineStr">
        <is>
          <t>燧木乱打</t>
        </is>
      </c>
      <c r="E348" t="inlineStr">
        <is>
          <t>Whipping</t>
        </is>
      </c>
      <c r="F348" t="inlineStr">
        <is>
          <t>skill_name_middle7301</t>
        </is>
      </c>
    </row>
    <row r="349">
      <c r="A349" t="inlineStr">
        <is>
          <t>Vidas Preservadas</t>
        </is>
      </c>
      <c r="B349" s="2" t="inlineStr">
        <is>
          <t>f</t>
        </is>
      </c>
      <c r="C349" s="2" t="inlineStr">
        <is>
          <t>p</t>
        </is>
      </c>
      <c r="D349" t="inlineStr">
        <is>
          <t>生息不离</t>
        </is>
      </c>
      <c r="E349" t="inlineStr">
        <is>
          <t>Preserved Lives</t>
        </is>
      </c>
      <c r="F349" t="inlineStr">
        <is>
          <t>skill_name_middle7302</t>
        </is>
      </c>
    </row>
    <row r="350">
      <c r="A350" t="inlineStr">
        <is>
          <t>Mísseis de Chama</t>
        </is>
      </c>
      <c r="B350" s="2" t="inlineStr">
        <is>
          <t>m</t>
        </is>
      </c>
      <c r="C350" s="2" t="inlineStr">
        <is>
          <t>p</t>
        </is>
      </c>
      <c r="D350" t="inlineStr">
        <is>
          <t>炽热火丸</t>
        </is>
      </c>
      <c r="E350" t="inlineStr">
        <is>
          <t>Missiles of Flame</t>
        </is>
      </c>
      <c r="F350" t="inlineStr">
        <is>
          <t>skill_name_middle7311</t>
        </is>
      </c>
    </row>
    <row r="351">
      <c r="A351" t="inlineStr">
        <is>
          <t>Caminho da Chama</t>
        </is>
      </c>
      <c r="B351" s="2" t="inlineStr">
        <is>
          <t>m</t>
        </is>
      </c>
      <c r="C351" s="2" t="inlineStr">
        <is>
          <t>s</t>
        </is>
      </c>
      <c r="D351" t="inlineStr">
        <is>
          <t>火元之径</t>
        </is>
      </c>
      <c r="E351" t="inlineStr">
        <is>
          <t>Path of Flame</t>
        </is>
      </c>
      <c r="F351" t="inlineStr">
        <is>
          <t>skill_name_middle7312</t>
        </is>
      </c>
    </row>
    <row r="352">
      <c r="A352" t="inlineStr">
        <is>
          <t>Raio Solar Escaldante</t>
        </is>
      </c>
      <c r="B352" s="2" t="inlineStr">
        <is>
          <t>m</t>
        </is>
      </c>
      <c r="C352" s="2" t="inlineStr">
        <is>
          <t>s</t>
        </is>
      </c>
      <c r="D352" t="inlineStr">
        <is>
          <t>炙阳之落</t>
        </is>
      </c>
      <c r="E352" t="inlineStr">
        <is>
          <t>Scorching Sunbeam</t>
        </is>
      </c>
      <c r="F352" t="inlineStr">
        <is>
          <t>skill_name_middle7313</t>
        </is>
      </c>
    </row>
    <row r="353">
      <c r="A353" t="inlineStr">
        <is>
          <t>Incineração</t>
        </is>
      </c>
      <c r="B353" s="2" t="inlineStr">
        <is>
          <t>f</t>
        </is>
      </c>
      <c r="C353" s="2" t="inlineStr">
        <is>
          <t>s</t>
        </is>
      </c>
      <c r="D353" t="inlineStr">
        <is>
          <t>绝命火葬</t>
        </is>
      </c>
      <c r="E353" t="inlineStr">
        <is>
          <t>Incineration</t>
        </is>
      </c>
      <c r="F353" t="inlineStr">
        <is>
          <t>skill_name_middle7314</t>
        </is>
      </c>
    </row>
    <row r="354">
      <c r="A354" t="inlineStr">
        <is>
          <t>Essências Ígneas</t>
        </is>
      </c>
      <c r="B354" s="2" t="inlineStr">
        <is>
          <t>f</t>
        </is>
      </c>
      <c r="C354" s="2" t="inlineStr">
        <is>
          <t>p</t>
        </is>
      </c>
      <c r="D354" t="inlineStr">
        <is>
          <t>焚天火元</t>
        </is>
      </c>
      <c r="E354" t="inlineStr">
        <is>
          <t>Fiery Essences</t>
        </is>
      </c>
      <c r="F354" t="inlineStr">
        <is>
          <t>skill_name_middle7316</t>
        </is>
      </c>
    </row>
    <row r="355">
      <c r="A355" t="inlineStr">
        <is>
          <t>Pilar de Gelo Perfurante</t>
        </is>
      </c>
      <c r="B355" s="2" t="inlineStr">
        <is>
          <t>m</t>
        </is>
      </c>
      <c r="C355" s="2" t="inlineStr">
        <is>
          <t>s</t>
        </is>
      </c>
      <c r="D355" t="inlineStr">
        <is>
          <t>冰柱打击</t>
        </is>
      </c>
      <c r="E355" t="inlineStr">
        <is>
          <t>Piercing Icicle</t>
        </is>
      </c>
      <c r="F355" t="inlineStr">
        <is>
          <t>skill_name_middle7321</t>
        </is>
      </c>
    </row>
    <row r="356">
      <c r="A356" t="inlineStr">
        <is>
          <t>Redemoinho Mortífero</t>
        </is>
      </c>
      <c r="B356" s="2" t="inlineStr">
        <is>
          <t>m</t>
        </is>
      </c>
      <c r="C356" s="2" t="inlineStr">
        <is>
          <t>s</t>
        </is>
      </c>
      <c r="D356" t="inlineStr">
        <is>
          <t>旋风追命</t>
        </is>
      </c>
      <c r="E356" t="inlineStr">
        <is>
          <t>Deadly Whirlwind</t>
        </is>
      </c>
      <c r="F356" t="inlineStr">
        <is>
          <t>skill_name_middle7322</t>
        </is>
      </c>
    </row>
    <row r="357">
      <c r="A357" t="inlineStr">
        <is>
          <t>Domínio Gélido</t>
        </is>
      </c>
      <c r="B357" s="2" t="inlineStr">
        <is>
          <t>m</t>
        </is>
      </c>
      <c r="C357" s="2" t="inlineStr">
        <is>
          <t>s</t>
        </is>
      </c>
      <c r="D357" t="inlineStr">
        <is>
          <t>寒夜冻结</t>
        </is>
      </c>
      <c r="E357" t="inlineStr">
        <is>
          <t>Frosty Field</t>
        </is>
      </c>
      <c r="F357" t="inlineStr">
        <is>
          <t>skill_name_middle7323</t>
        </is>
      </c>
    </row>
    <row r="358">
      <c r="A358" t="inlineStr">
        <is>
          <t>Dardos de Gelo</t>
        </is>
      </c>
      <c r="B358" s="2" t="inlineStr">
        <is>
          <t>m</t>
        </is>
      </c>
      <c r="C358" s="2" t="inlineStr">
        <is>
          <t>p</t>
        </is>
      </c>
      <c r="D358" t="inlineStr">
        <is>
          <t>寒锥冲击</t>
        </is>
      </c>
      <c r="E358" t="inlineStr">
        <is>
          <t>Icicle Darts</t>
        </is>
      </c>
      <c r="F358" t="inlineStr">
        <is>
          <t>skill_name_middle7324</t>
        </is>
      </c>
    </row>
    <row r="359">
      <c r="A359" t="inlineStr">
        <is>
          <t>Tempestade Cósmica</t>
        </is>
      </c>
      <c r="B359" s="2" t="inlineStr">
        <is>
          <t>f</t>
        </is>
      </c>
      <c r="C359" s="2" t="inlineStr">
        <is>
          <t>s</t>
        </is>
      </c>
      <c r="D359" t="inlineStr">
        <is>
          <t>大界风</t>
        </is>
      </c>
      <c r="E359" t="inlineStr">
        <is>
          <t>Cosmic Storm</t>
        </is>
      </c>
      <c r="F359" t="inlineStr">
        <is>
          <t>skill_name_middle7326</t>
        </is>
      </c>
    </row>
    <row r="360">
      <c r="A360" t="inlineStr">
        <is>
          <t>Feixe de Luz</t>
        </is>
      </c>
      <c r="B360" s="2" t="inlineStr">
        <is>
          <t>m</t>
        </is>
      </c>
      <c r="C360" s="2" t="inlineStr">
        <is>
          <t>s</t>
        </is>
      </c>
      <c r="D360" t="inlineStr">
        <is>
          <t>直光闪</t>
        </is>
      </c>
      <c r="E360" t="inlineStr">
        <is>
          <t>Beam Flash</t>
        </is>
      </c>
      <c r="F360" t="inlineStr">
        <is>
          <t>skill_name_middle7341</t>
        </is>
      </c>
    </row>
    <row r="361">
      <c r="A361" t="inlineStr">
        <is>
          <t>Feitiço de Relâmpago</t>
        </is>
      </c>
      <c r="B361" s="2" t="inlineStr">
        <is>
          <t>m</t>
        </is>
      </c>
      <c r="C361" s="2" t="inlineStr">
        <is>
          <t>s</t>
        </is>
      </c>
      <c r="D361" t="inlineStr">
        <is>
          <t>落雷咒</t>
        </is>
      </c>
      <c r="E361" t="inlineStr">
        <is>
          <t>Lightning Spell</t>
        </is>
      </c>
      <c r="F361" t="inlineStr">
        <is>
          <t>skill_name_middle7342</t>
        </is>
      </c>
    </row>
    <row r="362">
      <c r="A362" t="inlineStr">
        <is>
          <t>Tempestade de Relâmpagos</t>
        </is>
      </c>
      <c r="B362" s="2" t="inlineStr">
        <is>
          <t>f</t>
        </is>
      </c>
      <c r="C362" s="2" t="inlineStr">
        <is>
          <t>s</t>
        </is>
      </c>
      <c r="D362" t="inlineStr">
        <is>
          <t>闪电风暴</t>
        </is>
      </c>
      <c r="E362" t="inlineStr">
        <is>
          <t>Lightning Storm</t>
        </is>
      </c>
      <c r="F362" t="inlineStr">
        <is>
          <t>skill_name_middle7343</t>
        </is>
      </c>
    </row>
    <row r="363">
      <c r="A363" t="inlineStr">
        <is>
          <t>Relâmpago Tridente</t>
        </is>
      </c>
      <c r="B363" s="2" t="inlineStr">
        <is>
          <t>m</t>
        </is>
      </c>
      <c r="C363" s="2" t="inlineStr">
        <is>
          <t>s</t>
        </is>
      </c>
      <c r="D363" t="inlineStr">
        <is>
          <t>三岔闪电</t>
        </is>
      </c>
      <c r="E363" t="inlineStr">
        <is>
          <t>Trident Lightning</t>
        </is>
      </c>
      <c r="F363" t="inlineStr">
        <is>
          <t>skill_name_middle7344</t>
        </is>
      </c>
    </row>
    <row r="364">
      <c r="A364" t="inlineStr">
        <is>
          <t>Tornado de Gelo</t>
        </is>
      </c>
      <c r="B364" s="2" t="inlineStr">
        <is>
          <t>m</t>
        </is>
      </c>
      <c r="C364" s="2" t="inlineStr">
        <is>
          <t>s</t>
        </is>
      </c>
      <c r="D364" t="inlineStr">
        <is>
          <t>裂冰旋风</t>
        </is>
      </c>
      <c r="E364" t="inlineStr">
        <is>
          <t>Ice Tornado</t>
        </is>
      </c>
      <c r="F364" t="inlineStr">
        <is>
          <t>skill_name_middle7351</t>
        </is>
      </c>
    </row>
    <row r="365">
      <c r="A365" t="inlineStr">
        <is>
          <t>Tempestade de Pingentes de Gelo</t>
        </is>
      </c>
      <c r="B365" s="2" t="inlineStr">
        <is>
          <t>f</t>
        </is>
      </c>
      <c r="C365" s="2" t="inlineStr">
        <is>
          <t>s</t>
        </is>
      </c>
      <c r="D365" t="inlineStr">
        <is>
          <t>连环冰棱</t>
        </is>
      </c>
      <c r="E365" t="inlineStr">
        <is>
          <t>Icicle Flurry</t>
        </is>
      </c>
      <c r="F365" t="inlineStr">
        <is>
          <t>skill_name_middle7352</t>
        </is>
      </c>
    </row>
    <row r="366">
      <c r="A366" t="inlineStr">
        <is>
          <t>Chuva de Gelo</t>
        </is>
      </c>
      <c r="B366" s="2" t="inlineStr">
        <is>
          <t>f</t>
        </is>
      </c>
      <c r="C366" s="2" t="inlineStr">
        <is>
          <t>s</t>
        </is>
      </c>
      <c r="D366" t="inlineStr">
        <is>
          <t>全面冰棱</t>
        </is>
      </c>
      <c r="E366" t="inlineStr">
        <is>
          <t>Shower of Ice</t>
        </is>
      </c>
      <c r="F366" t="inlineStr">
        <is>
          <t>skill_name_middle7353</t>
        </is>
      </c>
    </row>
    <row r="367">
      <c r="A367" t="inlineStr">
        <is>
          <t>Prisão de Gelo</t>
        </is>
      </c>
      <c r="B367" s="2" t="inlineStr">
        <is>
          <t>f</t>
        </is>
      </c>
      <c r="C367" s="2" t="inlineStr">
        <is>
          <t>s</t>
        </is>
      </c>
      <c r="D367" t="inlineStr">
        <is>
          <t>冰牢霜域</t>
        </is>
      </c>
      <c r="E367" t="inlineStr">
        <is>
          <t>Frost Prison</t>
        </is>
      </c>
      <c r="F367" t="inlineStr">
        <is>
          <t>skill_name_middle7354</t>
        </is>
      </c>
    </row>
    <row r="368">
      <c r="A368" t="inlineStr">
        <is>
          <t>Meteoro</t>
        </is>
      </c>
      <c r="B368" s="2" t="inlineStr">
        <is>
          <t>m</t>
        </is>
      </c>
      <c r="C368" s="2" t="inlineStr">
        <is>
          <t>s</t>
        </is>
      </c>
      <c r="D368" t="inlineStr">
        <is>
          <t>天陨飞石</t>
        </is>
      </c>
      <c r="E368" t="inlineStr">
        <is>
          <t>Meteor</t>
        </is>
      </c>
      <c r="F368" t="inlineStr">
        <is>
          <t>skill_name_middle7361</t>
        </is>
      </c>
    </row>
    <row r="369">
      <c r="A369" t="inlineStr">
        <is>
          <t>Criador de Montanhas</t>
        </is>
      </c>
      <c r="B369" s="2" t="inlineStr">
        <is>
          <t>m</t>
        </is>
      </c>
      <c r="C369" s="2" t="inlineStr">
        <is>
          <t>s</t>
        </is>
      </c>
      <c r="D369" t="inlineStr">
        <is>
          <t>积土成山</t>
        </is>
      </c>
      <c r="E369" t="inlineStr">
        <is>
          <t>Mountain Maker</t>
        </is>
      </c>
      <c r="F369" t="inlineStr">
        <is>
          <t>skill_name_middle7362</t>
        </is>
      </c>
    </row>
    <row r="370">
      <c r="A370" t="inlineStr">
        <is>
          <t>Quebrador de Montanhas</t>
        </is>
      </c>
      <c r="B370" s="2" t="inlineStr">
        <is>
          <t>m</t>
        </is>
      </c>
      <c r="C370" s="2" t="inlineStr">
        <is>
          <t>s</t>
        </is>
      </c>
      <c r="D370" t="inlineStr">
        <is>
          <t>摧山折岳</t>
        </is>
      </c>
      <c r="E370" t="inlineStr">
        <is>
          <t>Mountain Breaker</t>
        </is>
      </c>
      <c r="F370" t="inlineStr">
        <is>
          <t>skill_name_middle7363</t>
        </is>
      </c>
    </row>
    <row r="371">
      <c r="A371" t="inlineStr">
        <is>
          <t>Chuva de Lava</t>
        </is>
      </c>
      <c r="B371" s="2" t="inlineStr">
        <is>
          <t>f</t>
        </is>
      </c>
      <c r="C371" s="2" t="inlineStr">
        <is>
          <t>s</t>
        </is>
      </c>
      <c r="D371" t="inlineStr">
        <is>
          <t>熔岩石雨</t>
        </is>
      </c>
      <c r="E371" t="inlineStr">
        <is>
          <t>Lava Rain</t>
        </is>
      </c>
      <c r="F371" t="inlineStr">
        <is>
          <t>skill_name_middle7364</t>
        </is>
      </c>
    </row>
    <row r="372">
      <c r="A372" t="inlineStr">
        <is>
          <t>Mísseis de Vento</t>
        </is>
      </c>
      <c r="B372" s="2" t="inlineStr">
        <is>
          <t>m</t>
        </is>
      </c>
      <c r="C372" s="2" t="inlineStr">
        <is>
          <t>p</t>
        </is>
      </c>
      <c r="D372" t="inlineStr">
        <is>
          <t>斩空风弹</t>
        </is>
      </c>
      <c r="E372" t="inlineStr">
        <is>
          <t>Wind Missiles</t>
        </is>
      </c>
      <c r="F372" t="inlineStr">
        <is>
          <t>skill_name_middle7371</t>
        </is>
      </c>
    </row>
    <row r="373">
      <c r="A373" t="inlineStr">
        <is>
          <t>Vendaval Uivante</t>
        </is>
      </c>
      <c r="B373" s="2" t="inlineStr">
        <is>
          <t>m</t>
        </is>
      </c>
      <c r="C373" s="2" t="inlineStr">
        <is>
          <t>s</t>
        </is>
      </c>
      <c r="D373" t="inlineStr">
        <is>
          <t>狂掠疾风</t>
        </is>
      </c>
      <c r="E373" t="inlineStr">
        <is>
          <t>Howling Gale</t>
        </is>
      </c>
      <c r="F373" t="inlineStr">
        <is>
          <t>skill_name_middle7372</t>
        </is>
      </c>
    </row>
    <row r="374">
      <c r="A374" t="inlineStr">
        <is>
          <t>Vento Denso</t>
        </is>
      </c>
      <c r="B374" s="2" t="inlineStr">
        <is>
          <t>m</t>
        </is>
      </c>
      <c r="C374" s="2" t="inlineStr">
        <is>
          <t>s</t>
        </is>
      </c>
      <c r="D374" t="inlineStr">
        <is>
          <t>凝聚之风</t>
        </is>
      </c>
      <c r="E374" t="inlineStr">
        <is>
          <t>Dense Wind</t>
        </is>
      </c>
      <c r="F374" t="inlineStr">
        <is>
          <t>skill_name_middle7373</t>
        </is>
      </c>
    </row>
    <row r="375">
      <c r="A375" t="inlineStr">
        <is>
          <t>Rajada de Vento</t>
        </is>
      </c>
      <c r="B375" s="2" t="inlineStr">
        <is>
          <t>f</t>
        </is>
      </c>
      <c r="C375" s="2" t="inlineStr">
        <is>
          <t>s</t>
        </is>
      </c>
      <c r="D375" t="inlineStr">
        <is>
          <t>风弹乱舞</t>
        </is>
      </c>
      <c r="E375" t="inlineStr">
        <is>
          <t>Wind Flurry</t>
        </is>
      </c>
      <c r="F375" t="inlineStr">
        <is>
          <t>skill_name_middle7374</t>
        </is>
      </c>
    </row>
    <row r="376">
      <c r="A376" t="inlineStr">
        <is>
          <t>Pedra Voadora</t>
        </is>
      </c>
      <c r="B376" s="2" t="inlineStr">
        <is>
          <t>f</t>
        </is>
      </c>
      <c r="C376" s="2" t="inlineStr">
        <is>
          <t>s</t>
        </is>
      </c>
      <c r="D376" t="inlineStr">
        <is>
          <t>飞石术</t>
        </is>
      </c>
      <c r="E376" t="inlineStr">
        <is>
          <t>Flying Stone</t>
        </is>
      </c>
      <c r="F376" t="inlineStr">
        <is>
          <t>skill_name_middle7381</t>
        </is>
      </c>
    </row>
    <row r="377">
      <c r="A377" t="inlineStr">
        <is>
          <t>Meteorito de Lava</t>
        </is>
      </c>
      <c r="B377" s="2" t="inlineStr">
        <is>
          <t>m</t>
        </is>
      </c>
      <c r="C377" s="2" t="inlineStr">
        <is>
          <t>s</t>
        </is>
      </c>
      <c r="D377" t="inlineStr">
        <is>
          <t>熔岩陨石</t>
        </is>
      </c>
      <c r="E377" t="inlineStr">
        <is>
          <t>Lava Meteorite</t>
        </is>
      </c>
      <c r="F377" t="inlineStr">
        <is>
          <t>skill_name_middle7382</t>
        </is>
      </c>
    </row>
    <row r="378">
      <c r="A378" t="inlineStr">
        <is>
          <t>Golpe Sundering</t>
        </is>
      </c>
      <c r="B378" s="2" t="inlineStr">
        <is>
          <t>m</t>
        </is>
      </c>
      <c r="C378" s="2" t="inlineStr">
        <is>
          <t>s</t>
        </is>
      </c>
      <c r="D378" t="inlineStr">
        <is>
          <t>天崩地裂</t>
        </is>
      </c>
      <c r="E378" t="inlineStr">
        <is>
          <t>Sundering Strike</t>
        </is>
      </c>
      <c r="F378" t="inlineStr">
        <is>
          <t>skill_name_middle7383</t>
        </is>
      </c>
    </row>
    <row r="379">
      <c r="A379" t="inlineStr">
        <is>
          <t>Terra inquieta</t>
        </is>
      </c>
      <c r="B379" s="2" t="inlineStr">
        <is>
          <t>f</t>
        </is>
      </c>
      <c r="C379" s="2" t="inlineStr">
        <is>
          <t>s</t>
        </is>
      </c>
      <c r="D379" t="inlineStr">
        <is>
          <t>天崩地爆</t>
        </is>
      </c>
      <c r="E379" t="inlineStr">
        <is>
          <t>Restive Earth</t>
        </is>
      </c>
      <c r="F379" t="inlineStr">
        <is>
          <t>skill_name_middle7384</t>
        </is>
      </c>
    </row>
    <row r="380">
      <c r="A380" t="inlineStr">
        <is>
          <t>Dança da Espada</t>
        </is>
      </c>
      <c r="B380" s="2" t="inlineStr">
        <is>
          <t>f</t>
        </is>
      </c>
      <c r="C380" s="2" t="inlineStr">
        <is>
          <t>s</t>
        </is>
      </c>
      <c r="D380" t="inlineStr">
        <is>
          <t>剑舞</t>
        </is>
      </c>
      <c r="E380" t="inlineStr">
        <is>
          <t>Sword's Dance</t>
        </is>
      </c>
      <c r="F380" t="inlineStr">
        <is>
          <t>skill_name_middle7391</t>
        </is>
      </c>
    </row>
    <row r="381">
      <c r="A381" t="inlineStr">
        <is>
          <t>Espada Fantasma</t>
        </is>
      </c>
      <c r="B381" s="2" t="inlineStr">
        <is>
          <t>f</t>
        </is>
      </c>
      <c r="C381" s="2" t="inlineStr">
        <is>
          <t>s</t>
        </is>
      </c>
      <c r="D381" t="inlineStr">
        <is>
          <t>幽剑</t>
        </is>
      </c>
      <c r="E381" t="inlineStr">
        <is>
          <t>Ghost Sword</t>
        </is>
      </c>
      <c r="F381" t="inlineStr">
        <is>
          <t>skill_name_middle7392</t>
        </is>
      </c>
    </row>
    <row r="382">
      <c r="A382" t="inlineStr">
        <is>
          <t>Chuva de Espadas</t>
        </is>
      </c>
      <c r="B382" s="2" t="inlineStr">
        <is>
          <t>f</t>
        </is>
      </c>
      <c r="C382" s="2" t="inlineStr">
        <is>
          <t>s</t>
        </is>
      </c>
      <c r="D382" t="inlineStr">
        <is>
          <t>剑雨</t>
        </is>
      </c>
      <c r="E382" t="inlineStr">
        <is>
          <t>Rain of Swords</t>
        </is>
      </c>
      <c r="F382" t="inlineStr">
        <is>
          <t>skill_name_middle7393</t>
        </is>
      </c>
    </row>
    <row r="383">
      <c r="A383" t="inlineStr">
        <is>
          <t>Rajada de Espadas</t>
        </is>
      </c>
      <c r="B383" s="2" t="inlineStr">
        <is>
          <t>f</t>
        </is>
      </c>
      <c r="C383" s="2" t="inlineStr">
        <is>
          <t>s</t>
        </is>
      </c>
      <c r="D383" t="inlineStr">
        <is>
          <t>万剑</t>
        </is>
      </c>
      <c r="E383" t="inlineStr">
        <is>
          <t>Sword Flurry</t>
        </is>
      </c>
      <c r="F383" t="inlineStr">
        <is>
          <t>skill_name_middle7394</t>
        </is>
      </c>
    </row>
    <row r="384">
      <c r="A384" t="inlineStr">
        <is>
          <t>Ataques Repentinos</t>
        </is>
      </c>
      <c r="B384" s="2" t="inlineStr">
        <is>
          <t>m</t>
        </is>
      </c>
      <c r="C384" s="2" t="inlineStr">
        <is>
          <t>p</t>
        </is>
      </c>
      <c r="D384" t="inlineStr">
        <is>
          <t>扑击</t>
        </is>
      </c>
      <c r="E384" t="inlineStr">
        <is>
          <t>Pouncing</t>
        </is>
      </c>
      <c r="F384" t="inlineStr">
        <is>
          <t>skill_name_middle7401</t>
        </is>
      </c>
    </row>
    <row r="385">
      <c r="A385" t="inlineStr">
        <is>
          <t>Mísseis Demoníacos</t>
        </is>
      </c>
      <c r="B385" s="2" t="inlineStr">
        <is>
          <t>m</t>
        </is>
      </c>
      <c r="C385" s="2" t="inlineStr">
        <is>
          <t>p</t>
        </is>
      </c>
      <c r="D385" t="inlineStr">
        <is>
          <t>妖元弹</t>
        </is>
      </c>
      <c r="E385" t="inlineStr">
        <is>
          <t>Demonic Missiles</t>
        </is>
      </c>
      <c r="F385" t="inlineStr">
        <is>
          <t>skill_name_middle7402</t>
        </is>
      </c>
    </row>
    <row r="386">
      <c r="A386" t="inlineStr">
        <is>
          <t>O Maligno que avança</t>
        </is>
      </c>
      <c r="B386" s="2" t="inlineStr">
        <is>
          <t>m</t>
        </is>
      </c>
      <c r="C386" s="2" t="inlineStr">
        <is>
          <t>s</t>
        </is>
      </c>
      <c r="D386" t="inlineStr">
        <is>
          <t>妖气侵袭</t>
        </is>
      </c>
      <c r="E386" t="inlineStr">
        <is>
          <t>Encroaching Evil</t>
        </is>
      </c>
      <c r="F386" t="inlineStr">
        <is>
          <t>skill_name_middle7403</t>
        </is>
      </c>
    </row>
    <row r="387">
      <c r="A387" t="inlineStr">
        <is>
          <t>Bote Triplo</t>
        </is>
      </c>
      <c r="B387" s="2" t="inlineStr">
        <is>
          <t>m</t>
        </is>
      </c>
      <c r="C387" s="2" t="inlineStr">
        <is>
          <t>s</t>
        </is>
      </c>
      <c r="D387" t="inlineStr">
        <is>
          <t>三连扑击</t>
        </is>
      </c>
      <c r="E387" t="inlineStr">
        <is>
          <t>Pounce Thrice</t>
        </is>
      </c>
      <c r="F387" t="inlineStr">
        <is>
          <t>skill_name_middle7404</t>
        </is>
      </c>
    </row>
    <row r="388">
      <c r="A388" t="inlineStr">
        <is>
          <t>Orbe do Relâmpago</t>
        </is>
      </c>
      <c r="B388" s="2" t="inlineStr">
        <is>
          <t>m</t>
        </is>
      </c>
      <c r="C388" s="2" t="inlineStr">
        <is>
          <t>s</t>
        </is>
      </c>
      <c r="D388" t="inlineStr">
        <is>
          <t>雷珠</t>
        </is>
      </c>
      <c r="E388" t="inlineStr">
        <is>
          <t>Lightning Orb</t>
        </is>
      </c>
      <c r="F388" t="inlineStr">
        <is>
          <t>skill_name_middle7411</t>
        </is>
      </c>
    </row>
    <row r="389">
      <c r="A389" t="inlineStr">
        <is>
          <t>Ataques Rápidos</t>
        </is>
      </c>
      <c r="B389" s="2" t="inlineStr">
        <is>
          <t>m</t>
        </is>
      </c>
      <c r="C389" s="2" t="inlineStr">
        <is>
          <t>p</t>
        </is>
      </c>
      <c r="D389" t="inlineStr">
        <is>
          <t>迅龙一击</t>
        </is>
      </c>
      <c r="E389" t="inlineStr">
        <is>
          <t>Rapid Attacks</t>
        </is>
      </c>
      <c r="F389" t="inlineStr">
        <is>
          <t>skill_name_middle7412</t>
        </is>
      </c>
    </row>
    <row r="390">
      <c r="A390" t="inlineStr">
        <is>
          <t>Mísseis de Relâmpago</t>
        </is>
      </c>
      <c r="B390" s="2" t="inlineStr">
        <is>
          <t>m</t>
        </is>
      </c>
      <c r="C390" s="2" t="inlineStr">
        <is>
          <t>p</t>
        </is>
      </c>
      <c r="D390" t="inlineStr">
        <is>
          <t>狂乱雷弹</t>
        </is>
      </c>
      <c r="E390" t="inlineStr">
        <is>
          <t>Lightning Missiles</t>
        </is>
      </c>
      <c r="F390" t="inlineStr">
        <is>
          <t>skill_name_middle7413</t>
        </is>
      </c>
    </row>
    <row r="391">
      <c r="A391" t="inlineStr">
        <is>
          <t>Cortina de Relâmpago</t>
        </is>
      </c>
      <c r="B391" s="2" t="inlineStr">
        <is>
          <t>f</t>
        </is>
      </c>
      <c r="C391" s="2" t="inlineStr">
        <is>
          <t>s</t>
        </is>
      </c>
      <c r="D391" t="inlineStr">
        <is>
          <t>雷元降世</t>
        </is>
      </c>
      <c r="E391" t="inlineStr">
        <is>
          <t>Screen of Lightning</t>
        </is>
      </c>
      <c r="F391" t="inlineStr">
        <is>
          <t>skill_name_middle7414</t>
        </is>
      </c>
    </row>
    <row r="392">
      <c r="A392" t="inlineStr">
        <is>
          <t>Terra Trêmula</t>
        </is>
      </c>
      <c r="B392" s="2" t="inlineStr">
        <is>
          <t>f</t>
        </is>
      </c>
      <c r="C392" s="2" t="inlineStr">
        <is>
          <t>s</t>
        </is>
      </c>
      <c r="D392" t="inlineStr">
        <is>
          <t>地动方圆</t>
        </is>
      </c>
      <c r="E392" t="inlineStr">
        <is>
          <t>Trembling Earth</t>
        </is>
      </c>
      <c r="F392" t="inlineStr">
        <is>
          <t>skill_name_middle7421</t>
        </is>
      </c>
    </row>
    <row r="393">
      <c r="A393" t="inlineStr">
        <is>
          <t>Formação de Bloqueio de Espíritos</t>
        </is>
      </c>
      <c r="B393" s="2" t="inlineStr">
        <is>
          <t>f</t>
        </is>
      </c>
      <c r="C393" s="2" t="inlineStr">
        <is>
          <t>s</t>
        </is>
      </c>
      <c r="D393" t="inlineStr">
        <is>
          <t>锁灵阵</t>
        </is>
      </c>
      <c r="E393" t="inlineStr">
        <is>
          <t>Spiritlock Array</t>
        </is>
      </c>
      <c r="F393" t="inlineStr">
        <is>
          <t>skill_name_middle7422</t>
        </is>
      </c>
    </row>
    <row r="394">
      <c r="A394" t="inlineStr">
        <is>
          <t>Tornado Divino</t>
        </is>
      </c>
      <c r="B394" s="2" t="inlineStr">
        <is>
          <t>m</t>
        </is>
      </c>
      <c r="C394" s="2" t="inlineStr">
        <is>
          <t>s</t>
        </is>
      </c>
      <c r="D394" t="inlineStr">
        <is>
          <t>神风乱拂</t>
        </is>
      </c>
      <c r="E394" t="inlineStr">
        <is>
          <t>Divine Tornado</t>
        </is>
      </c>
      <c r="F394" t="inlineStr">
        <is>
          <t>skill_name_middle7423</t>
        </is>
      </c>
    </row>
    <row r="395">
      <c r="A395" t="inlineStr">
        <is>
          <t>Urro retumbante</t>
        </is>
      </c>
      <c r="B395" s="2" t="inlineStr">
        <is>
          <t>m</t>
        </is>
      </c>
      <c r="C395" s="2" t="inlineStr">
        <is>
          <t>s</t>
        </is>
      </c>
      <c r="D395" t="inlineStr">
        <is>
          <t>声如洪钟</t>
        </is>
      </c>
      <c r="E395" t="inlineStr">
        <is>
          <t>Resounding Roar</t>
        </is>
      </c>
      <c r="F395" t="inlineStr">
        <is>
          <t>skill_name_middle7431</t>
        </is>
      </c>
    </row>
    <row r="396">
      <c r="A396" t="inlineStr">
        <is>
          <t>Constituição de Xuangui</t>
        </is>
      </c>
      <c r="B396" s="2" t="inlineStr">
        <is>
          <t>f</t>
        </is>
      </c>
      <c r="C396" s="2" t="inlineStr">
        <is>
          <t>s</t>
        </is>
      </c>
      <c r="D396" t="inlineStr">
        <is>
          <t>玄龟固体</t>
        </is>
      </c>
      <c r="E396" t="inlineStr">
        <is>
          <t>Xuangui's Physique</t>
        </is>
      </c>
      <c r="F396" t="inlineStr">
        <is>
          <t>skill_name_middle7432</t>
        </is>
      </c>
    </row>
    <row r="397">
      <c r="A397" t="inlineStr">
        <is>
          <t>Chicotadas com a Cauda</t>
        </is>
      </c>
      <c r="B397" s="2" t="inlineStr">
        <is>
          <t>f</t>
        </is>
      </c>
      <c r="C397" s="2" t="inlineStr">
        <is>
          <t>p</t>
        </is>
      </c>
      <c r="D397" t="inlineStr">
        <is>
          <t>甩尾一击</t>
        </is>
      </c>
      <c r="E397" t="inlineStr">
        <is>
          <t>Tail Whipping</t>
        </is>
      </c>
      <c r="F397" t="inlineStr">
        <is>
          <t>skill_name_middle7433</t>
        </is>
      </c>
    </row>
    <row r="398">
      <c r="A398" t="inlineStr">
        <is>
          <t>Domínio Solitário</t>
        </is>
      </c>
      <c r="B398" s="2" t="inlineStr">
        <is>
          <t>m</t>
        </is>
      </c>
      <c r="C398" s="2" t="inlineStr">
        <is>
          <t>s</t>
        </is>
      </c>
      <c r="D398" t="inlineStr">
        <is>
          <t>寂灭方寸</t>
        </is>
      </c>
      <c r="E398" t="inlineStr">
        <is>
          <t>Solitary Field</t>
        </is>
      </c>
      <c r="F398" t="inlineStr">
        <is>
          <t>skill_name_middle7434</t>
        </is>
      </c>
    </row>
    <row r="399">
      <c r="A399" t="inlineStr">
        <is>
          <t>Mísseis de Chama Sombria</t>
        </is>
      </c>
      <c r="B399" s="2" t="inlineStr">
        <is>
          <t>m</t>
        </is>
      </c>
      <c r="C399" s="2" t="inlineStr">
        <is>
          <t>p</t>
        </is>
      </c>
      <c r="D399" t="inlineStr">
        <is>
          <t>黯炎疾射</t>
        </is>
      </c>
      <c r="E399" t="inlineStr">
        <is>
          <t>Dark Flame Missiles</t>
        </is>
      </c>
      <c r="F399" t="inlineStr">
        <is>
          <t>skill_name_middle7451</t>
        </is>
      </c>
    </row>
    <row r="400">
      <c r="A400" t="inlineStr">
        <is>
          <t>Explosão de Chama Sombria</t>
        </is>
      </c>
      <c r="B400" s="2" t="inlineStr">
        <is>
          <t>f</t>
        </is>
      </c>
      <c r="C400" s="2" t="inlineStr">
        <is>
          <t>s</t>
        </is>
      </c>
      <c r="D400" t="inlineStr">
        <is>
          <t>黯炎狂乱</t>
        </is>
      </c>
      <c r="E400" t="inlineStr">
        <is>
          <t>Dark Flame Bursting</t>
        </is>
      </c>
      <c r="F400" t="inlineStr">
        <is>
          <t>skill_name_middle7452</t>
        </is>
      </c>
    </row>
    <row r="401">
      <c r="A401" t="inlineStr">
        <is>
          <t>Golpe Furtivo</t>
        </is>
      </c>
      <c r="B401" s="2" t="inlineStr">
        <is>
          <t>m</t>
        </is>
      </c>
      <c r="C401" s="2" t="inlineStr">
        <is>
          <t>s</t>
        </is>
      </c>
      <c r="D401" t="inlineStr">
        <is>
          <t>隐秘突击</t>
        </is>
      </c>
      <c r="E401" t="inlineStr">
        <is>
          <t>Sneaky Strike</t>
        </is>
      </c>
      <c r="F401" t="inlineStr">
        <is>
          <t>skill_name_middle7453</t>
        </is>
      </c>
    </row>
    <row r="402">
      <c r="A402" t="inlineStr">
        <is>
          <t>Impulso Poderoso</t>
        </is>
      </c>
      <c r="B402" s="2" t="inlineStr">
        <is>
          <t>m</t>
        </is>
      </c>
      <c r="C402" s="2" t="inlineStr">
        <is>
          <t>s</t>
        </is>
      </c>
      <c r="D402" t="inlineStr">
        <is>
          <t>强力突刺</t>
        </is>
      </c>
      <c r="E402" t="inlineStr">
        <is>
          <t>Powerful Thrust</t>
        </is>
      </c>
      <c r="F402" t="inlineStr">
        <is>
          <t>skill_name_middle7454</t>
        </is>
      </c>
    </row>
    <row r="403">
      <c r="A403" t="inlineStr">
        <is>
          <t>Madeira Florescente</t>
        </is>
      </c>
      <c r="B403" s="2" t="inlineStr">
        <is>
          <t>f</t>
        </is>
      </c>
      <c r="C403" s="2" t="inlineStr">
        <is>
          <t>s</t>
        </is>
      </c>
      <c r="D403" t="inlineStr">
        <is>
          <t>木灵绽放</t>
        </is>
      </c>
      <c r="E403" t="inlineStr">
        <is>
          <t>Blossoming Woods</t>
        </is>
      </c>
      <c r="F403" t="inlineStr">
        <is>
          <t>skill_name_middle7461</t>
        </is>
      </c>
    </row>
    <row r="404">
      <c r="A404" t="inlineStr">
        <is>
          <t>Penas Frondosas</t>
        </is>
      </c>
      <c r="B404" s="2" t="inlineStr">
        <is>
          <t>f</t>
        </is>
      </c>
      <c r="C404" s="2" t="inlineStr">
        <is>
          <t>p</t>
        </is>
      </c>
      <c r="D404" t="inlineStr">
        <is>
          <t>羽落苍穹</t>
        </is>
      </c>
      <c r="E404" t="inlineStr">
        <is>
          <t>Leafy Feathers</t>
        </is>
      </c>
      <c r="F404" t="inlineStr">
        <is>
          <t>skill_name_middle7462</t>
        </is>
      </c>
    </row>
    <row r="405">
      <c r="A405" t="inlineStr">
        <is>
          <t>Rapidez de Chongming</t>
        </is>
      </c>
      <c r="B405" s="2" t="inlineStr">
        <is>
          <t>f</t>
        </is>
      </c>
      <c r="C405" s="2" t="inlineStr">
        <is>
          <t>s</t>
        </is>
      </c>
      <c r="D405" t="inlineStr">
        <is>
          <t>重明迅击</t>
        </is>
      </c>
      <c r="E405" t="inlineStr">
        <is>
          <t>Chongming's Rapidity</t>
        </is>
      </c>
      <c r="F405" t="inlineStr">
        <is>
          <t>skill_name_middle7463</t>
        </is>
      </c>
    </row>
    <row r="406">
      <c r="A406" t="inlineStr">
        <is>
          <t>Círculo de Fogo</t>
        </is>
      </c>
      <c r="B406" s="2" t="inlineStr">
        <is>
          <t>m</t>
        </is>
      </c>
      <c r="C406" s="2" t="inlineStr">
        <is>
          <t>s</t>
        </is>
      </c>
      <c r="D406" t="inlineStr">
        <is>
          <t>火旋</t>
        </is>
      </c>
      <c r="E406" t="inlineStr">
        <is>
          <t>Fire Circle</t>
        </is>
      </c>
      <c r="F406" t="inlineStr">
        <is>
          <t>skill_name_middle7471</t>
        </is>
      </c>
    </row>
    <row r="407">
      <c r="A407" t="inlineStr">
        <is>
          <t>Terra Queimada</t>
        </is>
      </c>
      <c r="B407" s="2" t="inlineStr">
        <is>
          <t>f</t>
        </is>
      </c>
      <c r="C407" s="2" t="inlineStr">
        <is>
          <t>s</t>
        </is>
      </c>
      <c r="D407" t="inlineStr">
        <is>
          <t>炙烤大地</t>
        </is>
      </c>
      <c r="E407" t="inlineStr">
        <is>
          <t>Scorched Land</t>
        </is>
      </c>
      <c r="F407" t="inlineStr">
        <is>
          <t>skill_name_middle7472</t>
        </is>
      </c>
    </row>
    <row r="408">
      <c r="A408" t="inlineStr">
        <is>
          <t>Tempestade de Chama</t>
        </is>
      </c>
      <c r="B408" s="2" t="inlineStr">
        <is>
          <t>f</t>
        </is>
      </c>
      <c r="C408" s="2" t="inlineStr">
        <is>
          <t>s</t>
        </is>
      </c>
      <c r="D408" t="inlineStr">
        <is>
          <t>火力喷发</t>
        </is>
      </c>
      <c r="E408" t="inlineStr">
        <is>
          <t>Storm of Flame</t>
        </is>
      </c>
      <c r="F408" t="inlineStr">
        <is>
          <t>skill_name_middle7473</t>
        </is>
      </c>
    </row>
    <row r="409">
      <c r="A409" t="inlineStr">
        <is>
          <t>Estrada Ardente</t>
        </is>
      </c>
      <c r="B409" s="2" t="inlineStr">
        <is>
          <t>f</t>
        </is>
      </c>
      <c r="C409" s="2" t="inlineStr">
        <is>
          <t>s</t>
        </is>
      </c>
      <c r="D409" t="inlineStr">
        <is>
          <t>火径</t>
        </is>
      </c>
      <c r="E409" t="inlineStr">
        <is>
          <t>Searing Road</t>
        </is>
      </c>
      <c r="F409" t="inlineStr">
        <is>
          <t>skill_name_middle7474</t>
        </is>
      </c>
    </row>
    <row r="410">
      <c r="A410" t="inlineStr">
        <is>
          <t>Erupção de Água</t>
        </is>
      </c>
      <c r="B410" s="2" t="inlineStr">
        <is>
          <t>f</t>
        </is>
      </c>
      <c r="C410" s="2" t="inlineStr">
        <is>
          <t>s</t>
        </is>
      </c>
      <c r="D410" t="inlineStr">
        <is>
          <t>水力四射</t>
        </is>
      </c>
      <c r="E410" t="inlineStr">
        <is>
          <t>Water Burst</t>
        </is>
      </c>
      <c r="F410" t="inlineStr">
        <is>
          <t>skill_name_middle7481</t>
        </is>
      </c>
    </row>
    <row r="411">
      <c r="A411" t="inlineStr">
        <is>
          <t>Tornado Congelante</t>
        </is>
      </c>
      <c r="B411" s="2" t="inlineStr">
        <is>
          <t>m</t>
        </is>
      </c>
      <c r="C411" s="2" t="inlineStr">
        <is>
          <t>s</t>
        </is>
      </c>
      <c r="D411" t="inlineStr">
        <is>
          <t>冰龙卷</t>
        </is>
      </c>
      <c r="E411" t="inlineStr">
        <is>
          <t>Freezing Tornado</t>
        </is>
      </c>
      <c r="F411" t="inlineStr">
        <is>
          <t>skill_name_middle7482</t>
        </is>
      </c>
    </row>
    <row r="412">
      <c r="A412" t="inlineStr">
        <is>
          <t>Esferas Frias</t>
        </is>
      </c>
      <c r="B412" s="2" t="inlineStr">
        <is>
          <t>f</t>
        </is>
      </c>
      <c r="C412" s="2" t="inlineStr">
        <is>
          <t>p</t>
        </is>
      </c>
      <c r="D412" t="inlineStr">
        <is>
          <t>寒气团</t>
        </is>
      </c>
      <c r="E412" t="inlineStr">
        <is>
          <t>Chilly Spheres</t>
        </is>
      </c>
      <c r="F412" t="inlineStr">
        <is>
          <t>skill_name_middle7483</t>
        </is>
      </c>
    </row>
    <row r="413">
      <c r="A413" t="inlineStr">
        <is>
          <t>Clones da Água</t>
        </is>
      </c>
      <c r="B413" s="2" t="inlineStr">
        <is>
          <t>m</t>
        </is>
      </c>
      <c r="C413" s="2" t="inlineStr">
        <is>
          <t>p</t>
        </is>
      </c>
      <c r="D413" t="inlineStr">
        <is>
          <t>水元分身</t>
        </is>
      </c>
      <c r="E413" t="inlineStr">
        <is>
          <t>Clones of Water</t>
        </is>
      </c>
      <c r="F413" t="inlineStr">
        <is>
          <t>skill_name_middle7484</t>
        </is>
      </c>
    </row>
    <row r="414">
      <c r="A414" t="inlineStr">
        <is>
          <t>Teia de Relâmpago</t>
        </is>
      </c>
      <c r="B414" s="2" t="inlineStr">
        <is>
          <t>f</t>
        </is>
      </c>
      <c r="C414" s="2" t="inlineStr">
        <is>
          <t>s</t>
        </is>
      </c>
      <c r="D414" t="inlineStr">
        <is>
          <t>雷网</t>
        </is>
      </c>
      <c r="E414" t="inlineStr">
        <is>
          <t>Lightning Web</t>
        </is>
      </c>
      <c r="F414" t="inlineStr">
        <is>
          <t>skill_name_middle7491</t>
        </is>
      </c>
    </row>
    <row r="415">
      <c r="A415" t="inlineStr">
        <is>
          <t>Esferas de Relâmpago</t>
        </is>
      </c>
      <c r="B415" s="2" t="inlineStr">
        <is>
          <t>f</t>
        </is>
      </c>
      <c r="C415" s="2" t="inlineStr">
        <is>
          <t>p</t>
        </is>
      </c>
      <c r="D415" t="inlineStr">
        <is>
          <t>雷球</t>
        </is>
      </c>
      <c r="E415" t="inlineStr">
        <is>
          <t>Lightning Globes</t>
        </is>
      </c>
      <c r="F415" t="inlineStr">
        <is>
          <t>skill_name_middle7493</t>
        </is>
      </c>
    </row>
    <row r="416">
      <c r="A416" t="inlineStr">
        <is>
          <t>Trovoada Súbita</t>
        </is>
      </c>
      <c r="B416" s="2" t="inlineStr">
        <is>
          <t>f</t>
        </is>
      </c>
      <c r="C416" s="2" t="inlineStr">
        <is>
          <t>s</t>
        </is>
      </c>
      <c r="D416" t="inlineStr">
        <is>
          <t>炸雷</t>
        </is>
      </c>
      <c r="E416" t="inlineStr">
        <is>
          <t>Sudden Thunder</t>
        </is>
      </c>
      <c r="F416" t="inlineStr">
        <is>
          <t>skill_name_middle7494</t>
        </is>
      </c>
    </row>
    <row r="417">
      <c r="A417" t="inlineStr">
        <is>
          <t>Tornados Dispersos</t>
        </is>
      </c>
      <c r="B417" s="2" t="inlineStr">
        <is>
          <t>m</t>
        </is>
      </c>
      <c r="C417" s="2" t="inlineStr">
        <is>
          <t>p</t>
        </is>
      </c>
      <c r="D417" t="inlineStr">
        <is>
          <t>群风吹拂</t>
        </is>
      </c>
      <c r="E417" t="inlineStr">
        <is>
          <t>Scattering Tornados</t>
        </is>
      </c>
      <c r="F417" t="inlineStr">
        <is>
          <t>skill_name_middle7502</t>
        </is>
      </c>
    </row>
    <row r="418">
      <c r="A418" t="inlineStr">
        <is>
          <t>Rajada implacável</t>
        </is>
      </c>
      <c r="B418" s="2" t="inlineStr">
        <is>
          <t>f</t>
        </is>
      </c>
      <c r="C418" s="2" t="inlineStr">
        <is>
          <t>s</t>
        </is>
      </c>
      <c r="D418" t="inlineStr">
        <is>
          <t>疾风乱打</t>
        </is>
      </c>
      <c r="E418" t="inlineStr">
        <is>
          <t>Unrelenting Gale</t>
        </is>
      </c>
      <c r="F418" t="inlineStr">
        <is>
          <t>skill_name_middle7503</t>
        </is>
      </c>
    </row>
    <row r="419">
      <c r="A419" t="inlineStr">
        <is>
          <t>Reunião de Espíritos do Vento</t>
        </is>
      </c>
      <c r="B419" s="2" t="inlineStr">
        <is>
          <t>f</t>
        </is>
      </c>
      <c r="C419" s="2" t="inlineStr">
        <is>
          <t>s</t>
        </is>
      </c>
      <c r="D419" t="inlineStr">
        <is>
          <t>风灵缭乱</t>
        </is>
      </c>
      <c r="E419" t="inlineStr">
        <is>
          <t>Gathering Wind Spirits</t>
        </is>
      </c>
      <c r="F419" t="inlineStr">
        <is>
          <t>skill_name_middle7504</t>
        </is>
      </c>
    </row>
    <row r="420">
      <c r="A420" t="inlineStr">
        <is>
          <t>Comandante do Vento</t>
        </is>
      </c>
      <c r="B420" s="2" t="inlineStr">
        <is>
          <t>m</t>
        </is>
      </c>
      <c r="C420" s="2" t="inlineStr">
        <is>
          <t>s</t>
        </is>
      </c>
      <c r="D420" t="inlineStr">
        <is>
          <t>以风之力</t>
        </is>
      </c>
      <c r="E420" t="inlineStr">
        <is>
          <t>Wind Commander</t>
        </is>
      </c>
      <c r="F420" t="inlineStr">
        <is>
          <t>skill_name_middle7511</t>
        </is>
      </c>
    </row>
    <row r="421">
      <c r="A421" t="inlineStr">
        <is>
          <t>Marionetes de Pedra</t>
        </is>
      </c>
      <c r="B421" s="2" t="inlineStr">
        <is>
          <t>m</t>
        </is>
      </c>
      <c r="C421" s="2" t="inlineStr">
        <is>
          <t>p</t>
        </is>
      </c>
      <c r="D421" t="inlineStr">
        <is>
          <t>石儡术</t>
        </is>
      </c>
      <c r="E421" t="inlineStr">
        <is>
          <t>Stone Puppetry</t>
        </is>
      </c>
      <c r="F421" t="inlineStr">
        <is>
          <t>skill_name_middle7512</t>
        </is>
      </c>
    </row>
    <row r="422">
      <c r="A422" t="inlineStr">
        <is>
          <t>Movendo Pedras</t>
        </is>
      </c>
      <c r="B422" s="2" t="inlineStr">
        <is>
          <t>m</t>
        </is>
      </c>
      <c r="C422" s="2" t="inlineStr">
        <is>
          <t>s</t>
        </is>
      </c>
      <c r="D422" t="inlineStr">
        <is>
          <t>尘石漫漫</t>
        </is>
      </c>
      <c r="E422" t="inlineStr">
        <is>
          <t>Moving Stones</t>
        </is>
      </c>
      <c r="F422" t="inlineStr">
        <is>
          <t>skill_name_middle7513</t>
        </is>
      </c>
    </row>
    <row r="423">
      <c r="A423" t="inlineStr">
        <is>
          <t>Mísseis de Seixos</t>
        </is>
      </c>
      <c r="B423" s="2" t="inlineStr">
        <is>
          <t>m</t>
        </is>
      </c>
      <c r="C423" s="2" t="inlineStr">
        <is>
          <t>p</t>
        </is>
      </c>
      <c r="D423" t="inlineStr">
        <is>
          <t>尘埃吹拂</t>
        </is>
      </c>
      <c r="E423" t="inlineStr">
        <is>
          <t>Pebble Missiles</t>
        </is>
      </c>
      <c r="F423" t="inlineStr">
        <is>
          <t>skill_name_middle7514</t>
        </is>
      </c>
    </row>
    <row r="424">
      <c r="A424" t="inlineStr">
        <is>
          <t>Perseguindo Orbes</t>
        </is>
      </c>
      <c r="B424" s="2" t="inlineStr">
        <is>
          <t>m</t>
        </is>
      </c>
      <c r="C424" s="2" t="inlineStr">
        <is>
          <t>s</t>
        </is>
      </c>
      <c r="D424" t="inlineStr">
        <is>
          <t>追击灵球</t>
        </is>
      </c>
      <c r="E424" t="inlineStr">
        <is>
          <t>Chasing Orbs</t>
        </is>
      </c>
      <c r="F424" t="inlineStr">
        <is>
          <t>skill_name_middle7531</t>
        </is>
      </c>
    </row>
    <row r="425">
      <c r="A425" t="inlineStr">
        <is>
          <t>Espada Penetrante</t>
        </is>
      </c>
      <c r="B425" s="2" t="inlineStr">
        <is>
          <t>f</t>
        </is>
      </c>
      <c r="C425" s="2" t="inlineStr">
        <is>
          <t>s</t>
        </is>
      </c>
      <c r="D425" t="inlineStr">
        <is>
          <t>一剑飞天</t>
        </is>
      </c>
      <c r="E425" t="inlineStr">
        <is>
          <t>Piercing Sword</t>
        </is>
      </c>
      <c r="F425" t="inlineStr">
        <is>
          <t>skill_name_middle7532</t>
        </is>
      </c>
    </row>
    <row r="426">
      <c r="A426" t="inlineStr">
        <is>
          <t>Lâminas do Portal Celeste</t>
        </is>
      </c>
      <c r="B426" s="2" t="inlineStr">
        <is>
          <t>f</t>
        </is>
      </c>
      <c r="C426" s="2" t="inlineStr">
        <is>
          <t>p</t>
        </is>
      </c>
      <c r="D426" t="inlineStr">
        <is>
          <t>天门剑决</t>
        </is>
      </c>
      <c r="E426" t="inlineStr">
        <is>
          <t>Skygate Blades</t>
        </is>
      </c>
      <c r="F426" t="inlineStr">
        <is>
          <t>skill_name_middle7534</t>
        </is>
      </c>
    </row>
    <row r="427">
      <c r="A427" t="inlineStr">
        <is>
          <t>Olhar Maligno</t>
        </is>
      </c>
      <c r="B427" s="2" t="inlineStr">
        <is>
          <t>m</t>
        </is>
      </c>
      <c r="C427" s="2" t="inlineStr">
        <is>
          <t>s</t>
        </is>
      </c>
      <c r="D427" t="inlineStr">
        <is>
          <t>邪瞳覆世</t>
        </is>
      </c>
      <c r="E427" t="inlineStr">
        <is>
          <t>Vile Gaze</t>
        </is>
      </c>
      <c r="F427" t="inlineStr">
        <is>
          <t>skill_name_middle7541</t>
        </is>
      </c>
    </row>
    <row r="428">
      <c r="A428" t="inlineStr">
        <is>
          <t>Onda Abala-Terra</t>
        </is>
      </c>
      <c r="B428" s="2" t="inlineStr">
        <is>
          <t>f</t>
        </is>
      </c>
      <c r="C428" s="2" t="inlineStr">
        <is>
          <t>s</t>
        </is>
      </c>
      <c r="D428" t="inlineStr">
        <is>
          <t>撼地波</t>
        </is>
      </c>
      <c r="E428" t="inlineStr">
        <is>
          <t>Earthshaking Wave</t>
        </is>
      </c>
      <c r="F428" t="inlineStr">
        <is>
          <t>skill_name_middle7543</t>
        </is>
      </c>
    </row>
    <row r="429">
      <c r="A429" t="inlineStr">
        <is>
          <t>Flechas Penetrantes</t>
        </is>
      </c>
      <c r="B429" s="2" t="inlineStr">
        <is>
          <t>f</t>
        </is>
      </c>
      <c r="C429" s="2" t="inlineStr">
        <is>
          <t>p</t>
        </is>
      </c>
      <c r="D429" t="inlineStr">
        <is>
          <t>透体利箭</t>
        </is>
      </c>
      <c r="E429" t="inlineStr">
        <is>
          <t>Penetrating Arrows</t>
        </is>
      </c>
      <c r="F429" t="inlineStr">
        <is>
          <t>skill_name_middle7544</t>
        </is>
      </c>
    </row>
    <row r="430">
      <c r="A430" t="inlineStr">
        <is>
          <t>Brilho do Relâmpago</t>
        </is>
      </c>
      <c r="B430" s="2" t="inlineStr">
        <is>
          <t>m</t>
        </is>
      </c>
      <c r="C430" s="2" t="inlineStr">
        <is>
          <t>s</t>
        </is>
      </c>
      <c r="D430" t="inlineStr">
        <is>
          <t>电光石火</t>
        </is>
      </c>
      <c r="E430" t="inlineStr">
        <is>
          <t>Lightning Glare</t>
        </is>
      </c>
      <c r="F430" t="inlineStr">
        <is>
          <t>skill_name_middle7552</t>
        </is>
      </c>
    </row>
    <row r="431">
      <c r="A431" t="inlineStr">
        <is>
          <t>Cinturão de Bolas de Relâmpago</t>
        </is>
      </c>
      <c r="B431" s="2" t="inlineStr">
        <is>
          <t>m</t>
        </is>
      </c>
      <c r="C431" s="2" t="inlineStr">
        <is>
          <t>s</t>
        </is>
      </c>
      <c r="D431" t="inlineStr">
        <is>
          <t>雷球护体</t>
        </is>
      </c>
      <c r="E431" t="inlineStr">
        <is>
          <t>Lightning Ball Belt</t>
        </is>
      </c>
      <c r="F431" t="inlineStr">
        <is>
          <t>skill_name_middle7554</t>
        </is>
      </c>
    </row>
    <row r="432">
      <c r="A432" t="inlineStr">
        <is>
          <t>Golpe de Sede de Sangue</t>
        </is>
      </c>
      <c r="B432" s="2" t="inlineStr">
        <is>
          <t>m</t>
        </is>
      </c>
      <c r="C432" s="2" t="inlineStr">
        <is>
          <t>s</t>
        </is>
      </c>
      <c r="D432" t="inlineStr">
        <is>
          <t>血煞连斩</t>
        </is>
      </c>
      <c r="E432" t="inlineStr">
        <is>
          <t>Bloodlust Slash</t>
        </is>
      </c>
      <c r="F432" t="inlineStr">
        <is>
          <t>skill_name_middle7571</t>
        </is>
      </c>
    </row>
    <row r="433">
      <c r="A433" t="inlineStr">
        <is>
          <t>Investida Pesadelo</t>
        </is>
      </c>
      <c r="B433" s="2" t="inlineStr">
        <is>
          <t>f</t>
        </is>
      </c>
      <c r="C433" s="2" t="inlineStr">
        <is>
          <t>s</t>
        </is>
      </c>
      <c r="D433" t="inlineStr">
        <is>
          <t>鬼魇突</t>
        </is>
      </c>
      <c r="E433" t="inlineStr">
        <is>
          <t>Nightmare Charge</t>
        </is>
      </c>
      <c r="F433" t="inlineStr">
        <is>
          <t>skill_name_middle7572</t>
        </is>
      </c>
    </row>
    <row r="434">
      <c r="A434" t="inlineStr">
        <is>
          <t>Caminho Escarlate</t>
        </is>
      </c>
      <c r="B434" s="2" t="inlineStr">
        <is>
          <t>m</t>
        </is>
      </c>
      <c r="C434" s="2" t="inlineStr">
        <is>
          <t>s</t>
        </is>
      </c>
      <c r="D434" t="inlineStr">
        <is>
          <t>猩红归路</t>
        </is>
      </c>
      <c r="E434" t="inlineStr">
        <is>
          <t>Crimson Path</t>
        </is>
      </c>
      <c r="F434" t="inlineStr">
        <is>
          <t>skill_name_middle7573</t>
        </is>
      </c>
    </row>
    <row r="435">
      <c r="A435" t="inlineStr">
        <is>
          <t>Flores Vermelhas</t>
        </is>
      </c>
      <c r="B435" s="2" t="inlineStr">
        <is>
          <t>f</t>
        </is>
      </c>
      <c r="C435" s="2" t="inlineStr">
        <is>
          <t>p</t>
        </is>
      </c>
      <c r="D435" t="inlineStr">
        <is>
          <t>猩红绽放</t>
        </is>
      </c>
      <c r="E435" t="inlineStr">
        <is>
          <t>Red Blossoms</t>
        </is>
      </c>
      <c r="F435" t="inlineStr">
        <is>
          <t>skill_name_middle7574</t>
        </is>
      </c>
    </row>
    <row r="436">
      <c r="A436" t="inlineStr">
        <is>
          <t>Frenesi de Sangue</t>
        </is>
      </c>
      <c r="B436" s="2" t="inlineStr">
        <is>
          <t>m</t>
        </is>
      </c>
      <c r="C436" s="2" t="inlineStr">
        <is>
          <t>s</t>
        </is>
      </c>
      <c r="D436" t="inlineStr">
        <is>
          <t>血之狂乱</t>
        </is>
      </c>
      <c r="E436" t="inlineStr">
        <is>
          <t>Blood Frenzy</t>
        </is>
      </c>
      <c r="F436" t="inlineStr">
        <is>
          <t>skill_name_middle7576</t>
        </is>
      </c>
    </row>
    <row r="437">
      <c r="A437" t="inlineStr">
        <is>
          <t>Esmagamento</t>
        </is>
      </c>
      <c r="B437" s="2" t="inlineStr">
        <is>
          <t>m</t>
        </is>
      </c>
      <c r="C437" s="2" t="inlineStr">
        <is>
          <t>s</t>
        </is>
      </c>
      <c r="D437" t="inlineStr">
        <is>
          <t>重锤</t>
        </is>
      </c>
      <c r="E437" t="inlineStr">
        <is>
          <t>Crushing</t>
        </is>
      </c>
      <c r="F437" t="inlineStr">
        <is>
          <t>skill_name_middle7581</t>
        </is>
      </c>
    </row>
    <row r="438">
      <c r="A438" t="inlineStr">
        <is>
          <t>Caldeirão do Dragão de Água</t>
        </is>
      </c>
      <c r="B438" s="2" t="inlineStr">
        <is>
          <t>m</t>
        </is>
      </c>
      <c r="C438" s="2" t="inlineStr">
        <is>
          <t>s</t>
        </is>
      </c>
      <c r="D438" t="inlineStr">
        <is>
          <t>溟霖宝鼎</t>
        </is>
      </c>
      <c r="E438" t="inlineStr">
        <is>
          <t>Water Dragon Cauldron</t>
        </is>
      </c>
      <c r="F438" t="inlineStr">
        <is>
          <t>skill_name_middle7582</t>
        </is>
      </c>
    </row>
    <row r="439">
      <c r="A439" t="inlineStr">
        <is>
          <t>Arte do Caldeirão</t>
        </is>
      </c>
      <c r="B439" s="2" t="inlineStr">
        <is>
          <t>f</t>
        </is>
      </c>
      <c r="C439" s="2" t="inlineStr">
        <is>
          <t>s</t>
        </is>
      </c>
      <c r="D439" t="inlineStr">
        <is>
          <t>鼎技</t>
        </is>
      </c>
      <c r="E439" t="inlineStr">
        <is>
          <t>Art of Cauldron</t>
        </is>
      </c>
      <c r="F439" t="inlineStr">
        <is>
          <t>skill_name_middle7583</t>
        </is>
      </c>
    </row>
    <row r="440">
      <c r="A440" t="inlineStr">
        <is>
          <t>Chuva Corrosiva</t>
        </is>
      </c>
      <c r="B440" s="2" t="inlineStr">
        <is>
          <t>f</t>
        </is>
      </c>
      <c r="C440" s="2" t="inlineStr">
        <is>
          <t>s</t>
        </is>
      </c>
      <c r="D440" t="inlineStr">
        <is>
          <t>腐蚀之雨</t>
        </is>
      </c>
      <c r="E440" t="inlineStr">
        <is>
          <t>Corrosive Rain</t>
        </is>
      </c>
      <c r="F440" t="inlineStr">
        <is>
          <t>skill_name_middle7584</t>
        </is>
      </c>
    </row>
    <row r="441">
      <c r="A441" t="inlineStr">
        <is>
          <t>Estocada</t>
        </is>
      </c>
      <c r="B441" s="2" t="inlineStr">
        <is>
          <t>f</t>
        </is>
      </c>
      <c r="C441" s="2" t="inlineStr">
        <is>
          <t>s</t>
        </is>
      </c>
      <c r="D441" t="inlineStr">
        <is>
          <t>突刺之剑</t>
        </is>
      </c>
      <c r="E441" t="inlineStr">
        <is>
          <t>Thrusting</t>
        </is>
      </c>
      <c r="F441" t="inlineStr">
        <is>
          <t>skill_name_middle7601</t>
        </is>
      </c>
    </row>
    <row r="442">
      <c r="A442" t="inlineStr">
        <is>
          <t>Folha Verdejante</t>
        </is>
      </c>
      <c r="B442" s="2" t="inlineStr">
        <is>
          <t>f</t>
        </is>
      </c>
      <c r="C442" s="2" t="inlineStr">
        <is>
          <t>s</t>
        </is>
      </c>
      <c r="D442" t="inlineStr">
        <is>
          <t>竹叶青</t>
        </is>
      </c>
      <c r="E442" t="inlineStr">
        <is>
          <t>Verdant Leaf</t>
        </is>
      </c>
      <c r="F442" t="inlineStr">
        <is>
          <t>skill_name_middle7602</t>
        </is>
      </c>
    </row>
    <row r="443">
      <c r="A443" t="inlineStr">
        <is>
          <t>Picada de Bambu Demônio</t>
        </is>
      </c>
      <c r="B443" s="2" t="inlineStr">
        <is>
          <t>f</t>
        </is>
      </c>
      <c r="C443" s="2" t="inlineStr">
        <is>
          <t>s</t>
        </is>
      </c>
      <c r="D443" t="inlineStr">
        <is>
          <t>鬼竹刺</t>
        </is>
      </c>
      <c r="E443" t="inlineStr">
        <is>
          <t>Demon Bamboo Sting</t>
        </is>
      </c>
      <c r="F443" t="inlineStr">
        <is>
          <t>skill_name_middle7603</t>
        </is>
      </c>
    </row>
    <row r="444">
      <c r="A444" t="inlineStr">
        <is>
          <t>Flagelação</t>
        </is>
      </c>
      <c r="B444" s="2" t="inlineStr">
        <is>
          <t>f</t>
        </is>
      </c>
      <c r="C444" s="2" t="inlineStr">
        <is>
          <t>s</t>
        </is>
      </c>
      <c r="D444" t="inlineStr">
        <is>
          <t>鞭打</t>
        </is>
      </c>
      <c r="E444" t="inlineStr">
        <is>
          <t>Lashing</t>
        </is>
      </c>
      <c r="F444" t="inlineStr">
        <is>
          <t>skill_name_middle7611</t>
        </is>
      </c>
    </row>
    <row r="445">
      <c r="A445" t="inlineStr">
        <is>
          <t>Aura do Senhor do Sangue</t>
        </is>
      </c>
      <c r="B445" s="2" t="inlineStr">
        <is>
          <t>f</t>
        </is>
      </c>
      <c r="C445" s="2" t="inlineStr">
        <is>
          <t>s</t>
        </is>
      </c>
      <c r="D445" t="inlineStr">
        <is>
          <t>血魔震</t>
        </is>
      </c>
      <c r="E445" t="inlineStr">
        <is>
          <t>Blood Lord's Aura</t>
        </is>
      </c>
      <c r="F445" t="inlineStr">
        <is>
          <t>skill_name_middle7613</t>
        </is>
      </c>
    </row>
    <row r="446">
      <c r="A446" t="inlineStr">
        <is>
          <t>Buda do Sangue</t>
        </is>
      </c>
      <c r="B446" s="2" t="inlineStr">
        <is>
          <t>f</t>
        </is>
      </c>
      <c r="C446" s="2" t="inlineStr">
        <is>
          <t>s</t>
        </is>
      </c>
      <c r="D446" t="inlineStr">
        <is>
          <t>血浮屠</t>
        </is>
      </c>
      <c r="E446" t="inlineStr">
        <is>
          <t>Blood Buddha</t>
        </is>
      </c>
      <c r="F446" t="inlineStr">
        <is>
          <t>skill_name_middle7614</t>
        </is>
      </c>
    </row>
    <row r="447">
      <c r="A447" t="inlineStr">
        <is>
          <t>Garrada</t>
        </is>
      </c>
      <c r="B447" s="2" t="inlineStr">
        <is>
          <t>f</t>
        </is>
      </c>
      <c r="C447" s="2" t="inlineStr">
        <is>
          <t>s</t>
        </is>
      </c>
      <c r="D447" t="inlineStr">
        <is>
          <t>爪击</t>
        </is>
      </c>
      <c r="E447" t="inlineStr">
        <is>
          <t>Clawing</t>
        </is>
      </c>
      <c r="F447" t="inlineStr">
        <is>
          <t>skill_name_middle7631</t>
        </is>
      </c>
    </row>
    <row r="448">
      <c r="A448" t="inlineStr">
        <is>
          <t>Grande Redemoinho</t>
        </is>
      </c>
      <c r="B448" s="2" t="inlineStr">
        <is>
          <t>m</t>
        </is>
      </c>
      <c r="C448" s="2" t="inlineStr">
        <is>
          <t>s</t>
        </is>
      </c>
      <c r="D448" t="inlineStr">
        <is>
          <t>大旋风</t>
        </is>
      </c>
      <c r="E448" t="inlineStr">
        <is>
          <t>Huge Whirlwind</t>
        </is>
      </c>
      <c r="F448" t="inlineStr">
        <is>
          <t>skill_name_middle7632</t>
        </is>
      </c>
    </row>
    <row r="449">
      <c r="A449" t="inlineStr">
        <is>
          <t>Pena de Sedução</t>
        </is>
      </c>
      <c r="B449" s="2" t="inlineStr">
        <is>
          <t>f</t>
        </is>
      </c>
      <c r="C449" s="2" t="inlineStr">
        <is>
          <t>s</t>
        </is>
      </c>
      <c r="D449" t="inlineStr">
        <is>
          <t>蛊惑之羽</t>
        </is>
      </c>
      <c r="E449" t="inlineStr">
        <is>
          <t>Feather of Enticement</t>
        </is>
      </c>
      <c r="F449" t="inlineStr">
        <is>
          <t>skill_name_middle7633</t>
        </is>
      </c>
    </row>
    <row r="450">
      <c r="A450" t="inlineStr">
        <is>
          <t>Transformação</t>
        </is>
      </c>
      <c r="B450" s="2" t="inlineStr">
        <is>
          <t>f</t>
        </is>
      </c>
      <c r="C450" s="2" t="inlineStr">
        <is>
          <t>s</t>
        </is>
      </c>
      <c r="D450" t="inlineStr">
        <is>
          <t>形态转换</t>
        </is>
      </c>
      <c r="E450" t="inlineStr">
        <is>
          <t>Transformation</t>
        </is>
      </c>
      <c r="F450" t="inlineStr">
        <is>
          <t>skill_name_middle7635</t>
        </is>
      </c>
    </row>
    <row r="451">
      <c r="A451" t="inlineStr">
        <is>
          <t>Explosão de Lava</t>
        </is>
      </c>
      <c r="B451" s="2" t="inlineStr">
        <is>
          <t>f</t>
        </is>
      </c>
      <c r="C451" s="2" t="inlineStr">
        <is>
          <t>s</t>
        </is>
      </c>
      <c r="D451" t="inlineStr">
        <is>
          <t>熔岩烈轰</t>
        </is>
      </c>
      <c r="E451" t="inlineStr">
        <is>
          <t>Lava Blast</t>
        </is>
      </c>
      <c r="F451" t="inlineStr">
        <is>
          <t>skill_name_middle7661</t>
        </is>
      </c>
    </row>
    <row r="452">
      <c r="A452" t="inlineStr">
        <is>
          <t>Chuva de Areia</t>
        </is>
      </c>
      <c r="B452" s="2" t="inlineStr">
        <is>
          <t>f</t>
        </is>
      </c>
      <c r="C452" s="2" t="inlineStr">
        <is>
          <t>s</t>
        </is>
      </c>
      <c r="D452" t="inlineStr">
        <is>
          <t>沙尘石雨</t>
        </is>
      </c>
      <c r="E452" t="inlineStr">
        <is>
          <t>Rain of Sands</t>
        </is>
      </c>
      <c r="F452" t="inlineStr">
        <is>
          <t>skill_name_middle7662</t>
        </is>
      </c>
    </row>
    <row r="453">
      <c r="A453" t="inlineStr">
        <is>
          <t>Chama Negra - Quebrar</t>
        </is>
      </c>
      <c r="B453" s="2" t="inlineStr">
        <is>
          <t>f</t>
        </is>
      </c>
      <c r="C453" s="2" t="inlineStr">
        <is>
          <t>s</t>
        </is>
      </c>
      <c r="D453" t="inlineStr">
        <is>
          <t>幽炎破</t>
        </is>
      </c>
      <c r="E453" t="inlineStr">
        <is>
          <t>Dark Flame - Break</t>
        </is>
      </c>
      <c r="F453" t="inlineStr">
        <is>
          <t>skill_name_middle7671</t>
        </is>
      </c>
    </row>
    <row r="454">
      <c r="A454" t="inlineStr">
        <is>
          <t>Chama Negra - Aniquilar</t>
        </is>
      </c>
      <c r="B454" s="2" t="inlineStr">
        <is>
          <t>f</t>
        </is>
      </c>
      <c r="C454" s="2" t="inlineStr">
        <is>
          <t>s</t>
        </is>
      </c>
      <c r="D454" t="inlineStr">
        <is>
          <t>幽炎索命</t>
        </is>
      </c>
      <c r="E454" t="inlineStr">
        <is>
          <t>Dark Flame - Annihilate</t>
        </is>
      </c>
      <c r="F454" t="inlineStr">
        <is>
          <t>skill_name_middle7672</t>
        </is>
      </c>
    </row>
    <row r="455">
      <c r="A455" t="inlineStr">
        <is>
          <t>Névoa Tóxica</t>
        </is>
      </c>
      <c r="B455" s="2" t="inlineStr">
        <is>
          <t>f</t>
        </is>
      </c>
      <c r="C455" s="2" t="inlineStr">
        <is>
          <t>s</t>
        </is>
      </c>
      <c r="D455" t="inlineStr">
        <is>
          <t>剧毒迷雾</t>
        </is>
      </c>
      <c r="E455" t="inlineStr">
        <is>
          <t>Toxic Mist</t>
        </is>
      </c>
      <c r="F455" t="inlineStr">
        <is>
          <t>skill_name_middle7681</t>
        </is>
      </c>
    </row>
    <row r="456">
      <c r="A456" t="inlineStr">
        <is>
          <t>Pisoteio no Submundo</t>
        </is>
      </c>
      <c r="B456" s="2" t="inlineStr">
        <is>
          <t>m</t>
        </is>
      </c>
      <c r="C456" s="2" t="inlineStr">
        <is>
          <t>s</t>
        </is>
      </c>
      <c r="D456" t="inlineStr">
        <is>
          <t>幽冥践踏</t>
        </is>
      </c>
      <c r="E456" t="inlineStr">
        <is>
          <t>Nether Trampling</t>
        </is>
      </c>
      <c r="F456" t="inlineStr">
        <is>
          <t>skill_name_middle7682</t>
        </is>
      </c>
    </row>
    <row r="457">
      <c r="A457" t="inlineStr">
        <is>
          <t>Olhar encantador</t>
        </is>
      </c>
      <c r="B457" s="2" t="inlineStr">
        <is>
          <t>m</t>
        </is>
      </c>
      <c r="C457" s="2" t="inlineStr">
        <is>
          <t>s</t>
        </is>
      </c>
      <c r="D457" t="inlineStr">
        <is>
          <t>邪眼狂乱</t>
        </is>
      </c>
      <c r="E457" t="inlineStr">
        <is>
          <t>Bewitching Gaze</t>
        </is>
      </c>
      <c r="F457" t="inlineStr">
        <is>
          <t>skill_name_middle7683</t>
        </is>
      </c>
    </row>
    <row r="458">
      <c r="A458" t="inlineStr">
        <is>
          <t>Mil Olhos</t>
        </is>
      </c>
      <c r="B458" s="2" t="inlineStr">
        <is>
          <t>m</t>
        </is>
      </c>
      <c r="C458" s="2" t="inlineStr">
        <is>
          <t>s</t>
        </is>
      </c>
      <c r="D458" t="inlineStr">
        <is>
          <t>千瞳缭乱</t>
        </is>
      </c>
      <c r="E458" t="inlineStr">
        <is>
          <t>Thousand Eyeballs</t>
        </is>
      </c>
      <c r="F458" t="inlineStr">
        <is>
          <t>skill_name_middle7684</t>
        </is>
      </c>
    </row>
    <row r="459">
      <c r="A459" t="inlineStr">
        <is>
          <t>Seta Escarlate</t>
        </is>
      </c>
      <c r="B459" s="2" t="inlineStr">
        <is>
          <t>f</t>
        </is>
      </c>
      <c r="C459" s="2" t="inlineStr">
        <is>
          <t>s</t>
        </is>
      </c>
      <c r="D459" t="inlineStr">
        <is>
          <t>透体血箭</t>
        </is>
      </c>
      <c r="E459" t="inlineStr">
        <is>
          <t>Scarlet Arrow</t>
        </is>
      </c>
      <c r="F459" t="inlineStr">
        <is>
          <t>skill_name_middle7701</t>
        </is>
      </c>
    </row>
    <row r="460">
      <c r="A460" t="inlineStr">
        <is>
          <t>Pisoteio brutal</t>
        </is>
      </c>
      <c r="B460" s="2" t="inlineStr">
        <is>
          <t>m</t>
        </is>
      </c>
      <c r="C460" s="2" t="inlineStr">
        <is>
          <t>s</t>
        </is>
      </c>
      <c r="D460" t="inlineStr">
        <is>
          <t>致命践踏</t>
        </is>
      </c>
      <c r="E460" t="inlineStr">
        <is>
          <t>Brutal Trampling</t>
        </is>
      </c>
      <c r="F460" t="inlineStr">
        <is>
          <t>skill_name_middle7702</t>
        </is>
      </c>
    </row>
    <row r="461">
      <c r="A461" t="inlineStr">
        <is>
          <t>Formação Restritiva</t>
        </is>
      </c>
      <c r="B461" s="2" t="inlineStr">
        <is>
          <t>f</t>
        </is>
      </c>
      <c r="C461" s="2" t="inlineStr">
        <is>
          <t>s</t>
        </is>
      </c>
      <c r="D461" t="inlineStr">
        <is>
          <t>法阵之力</t>
        </is>
      </c>
      <c r="E461" t="inlineStr">
        <is>
          <t>Restricting Array</t>
        </is>
      </c>
      <c r="F461" t="inlineStr">
        <is>
          <t>skill_name_middle7703</t>
        </is>
      </c>
    </row>
    <row r="462">
      <c r="A462" t="inlineStr">
        <is>
          <t>Garra Afiada</t>
        </is>
      </c>
      <c r="B462" s="2" t="inlineStr">
        <is>
          <t>f</t>
        </is>
      </c>
      <c r="C462" s="2" t="inlineStr">
        <is>
          <t>s</t>
        </is>
      </c>
      <c r="D462" t="inlineStr">
        <is>
          <t>乱爪</t>
        </is>
      </c>
      <c r="E462" t="inlineStr">
        <is>
          <t>Sharp Claw</t>
        </is>
      </c>
      <c r="F462" t="inlineStr">
        <is>
          <t>skill_name_middle7705</t>
        </is>
      </c>
    </row>
    <row r="463">
      <c r="A463" t="inlineStr">
        <is>
          <t>Cristais Guardiões</t>
        </is>
      </c>
      <c r="B463" s="2" t="inlineStr">
        <is>
          <t>m</t>
        </is>
      </c>
      <c r="C463" s="2" t="inlineStr">
        <is>
          <t>p</t>
        </is>
      </c>
      <c r="D463" t="inlineStr">
        <is>
          <t>冰晶缠绕</t>
        </is>
      </c>
      <c r="E463" t="inlineStr">
        <is>
          <t>Guarding Crystals</t>
        </is>
      </c>
      <c r="F463" t="inlineStr">
        <is>
          <t>skill_name_middle7761</t>
        </is>
      </c>
    </row>
    <row r="464">
      <c r="A464" t="inlineStr">
        <is>
          <t>Manto Congelante</t>
        </is>
      </c>
      <c r="B464" s="2" t="inlineStr">
        <is>
          <t>m</t>
        </is>
      </c>
      <c r="C464" s="2" t="inlineStr">
        <is>
          <t>s</t>
        </is>
      </c>
      <c r="D464" t="inlineStr">
        <is>
          <t>寒霜刺骨</t>
        </is>
      </c>
      <c r="E464" t="inlineStr">
        <is>
          <t>Freezing Coat</t>
        </is>
      </c>
      <c r="F464" t="inlineStr">
        <is>
          <t>skill_name_middle7763</t>
        </is>
      </c>
    </row>
    <row r="465">
      <c r="A465" t="inlineStr">
        <is>
          <t>Pilar de Gelo</t>
        </is>
      </c>
      <c r="B465" s="2" t="inlineStr">
        <is>
          <t>m</t>
        </is>
      </c>
      <c r="C465" s="2" t="inlineStr">
        <is>
          <t>s</t>
        </is>
      </c>
      <c r="D465" t="inlineStr">
        <is>
          <t>寒冰巨石</t>
        </is>
      </c>
      <c r="E465" t="inlineStr">
        <is>
          <t>Pillar of Ice</t>
        </is>
      </c>
      <c r="F465" t="inlineStr">
        <is>
          <t>skill_name_middle7764</t>
        </is>
      </c>
    </row>
    <row r="466">
      <c r="A466" t="inlineStr">
        <is>
          <t>Nevasca Ártica</t>
        </is>
      </c>
      <c r="B466" s="2" t="inlineStr">
        <is>
          <t>f</t>
        </is>
      </c>
      <c r="C466" s="2" t="inlineStr">
        <is>
          <t>s</t>
        </is>
      </c>
      <c r="D466" t="inlineStr">
        <is>
          <t>寒霜风暴</t>
        </is>
      </c>
      <c r="E466" t="inlineStr">
        <is>
          <t>Arctic Blizzard</t>
        </is>
      </c>
      <c r="F466" t="inlineStr">
        <is>
          <t>skill_name_middle7765</t>
        </is>
      </c>
    </row>
    <row r="467">
      <c r="A467" t="inlineStr">
        <is>
          <t>Golpe do Ferrão</t>
        </is>
      </c>
      <c r="B467" s="2" t="inlineStr">
        <is>
          <t>m</t>
        </is>
      </c>
      <c r="C467" s="2" t="inlineStr">
        <is>
          <t>s</t>
        </is>
      </c>
      <c r="D467" t="inlineStr">
        <is>
          <t>尾针急射</t>
        </is>
      </c>
      <c r="E467" t="inlineStr">
        <is>
          <t>Stinger Strike</t>
        </is>
      </c>
      <c r="F467" t="inlineStr">
        <is>
          <t>skill_name_middle7871</t>
        </is>
      </c>
    </row>
    <row r="468">
      <c r="A468" t="inlineStr">
        <is>
          <t>Cargas Febris</t>
        </is>
      </c>
      <c r="B468" s="2" t="inlineStr">
        <is>
          <t>f</t>
        </is>
      </c>
      <c r="C468" s="2" t="inlineStr">
        <is>
          <t>p</t>
        </is>
      </c>
      <c r="D468" t="inlineStr">
        <is>
          <t>连续冲刺</t>
        </is>
      </c>
      <c r="E468" t="inlineStr">
        <is>
          <t>Feverish Charges</t>
        </is>
      </c>
      <c r="F468" t="inlineStr">
        <is>
          <t>skill_name_middle7872</t>
        </is>
      </c>
    </row>
    <row r="469">
      <c r="A469" t="inlineStr">
        <is>
          <t>Contaminação</t>
        </is>
      </c>
      <c r="B469" s="2" t="inlineStr">
        <is>
          <t>f</t>
        </is>
      </c>
      <c r="C469" s="2" t="inlineStr">
        <is>
          <t>s</t>
        </is>
      </c>
      <c r="D469" t="inlineStr">
        <is>
          <t>毒液污染</t>
        </is>
      </c>
      <c r="E469" t="inlineStr">
        <is>
          <t>Contamination</t>
        </is>
      </c>
      <c r="F469" t="inlineStr">
        <is>
          <t>skill_name_middle7873</t>
        </is>
      </c>
    </row>
    <row r="470">
      <c r="A470" t="inlineStr">
        <is>
          <t>Ira de Tiangang</t>
        </is>
      </c>
      <c r="B470" s="2" t="inlineStr">
        <is>
          <t>f</t>
        </is>
      </c>
      <c r="C470" s="2" t="inlineStr">
        <is>
          <t>s</t>
        </is>
      </c>
      <c r="D470" t="inlineStr">
        <is>
          <t>天罡之怒</t>
        </is>
      </c>
      <c r="E470" t="inlineStr">
        <is>
          <t>Wrath of Tiangang</t>
        </is>
      </c>
      <c r="F470" t="inlineStr">
        <is>
          <t>skill_name_middle7881</t>
        </is>
      </c>
    </row>
    <row r="471">
      <c r="A471" t="inlineStr">
        <is>
          <t>Postura de Arrogância</t>
        </is>
      </c>
      <c r="B471" s="2" t="inlineStr">
        <is>
          <t>f</t>
        </is>
      </c>
      <c r="C471" s="2" t="inlineStr">
        <is>
          <t>s</t>
        </is>
      </c>
      <c r="D471" t="inlineStr">
        <is>
          <t>狂傲之姿</t>
        </is>
      </c>
      <c r="E471" t="inlineStr">
        <is>
          <t>Pose of Arrogance</t>
        </is>
      </c>
      <c r="F471" t="inlineStr">
        <is>
          <t>skill_name_middle7882</t>
        </is>
      </c>
    </row>
    <row r="472">
      <c r="A472" t="inlineStr">
        <is>
          <t>Postura do Torturador</t>
        </is>
      </c>
      <c r="B472" s="2" t="inlineStr">
        <is>
          <t>f</t>
        </is>
      </c>
      <c r="C472" s="2" t="inlineStr">
        <is>
          <t>s</t>
        </is>
      </c>
      <c r="D472" t="inlineStr">
        <is>
          <t>虐杀之姿</t>
        </is>
      </c>
      <c r="E472" t="inlineStr">
        <is>
          <t>Pose of Torturer</t>
        </is>
      </c>
      <c r="F472" t="inlineStr">
        <is>
          <t>skill_name_middle7883</t>
        </is>
      </c>
    </row>
    <row r="473">
      <c r="A473" t="inlineStr">
        <is>
          <t>Postura de Rendição</t>
        </is>
      </c>
      <c r="B473" s="2" t="inlineStr">
        <is>
          <t>f</t>
        </is>
      </c>
      <c r="C473" s="2" t="inlineStr">
        <is>
          <t>s</t>
        </is>
      </c>
      <c r="D473" t="inlineStr">
        <is>
          <t>软弱之姿</t>
        </is>
      </c>
      <c r="E473" t="inlineStr">
        <is>
          <t>Pose of Surrender</t>
        </is>
      </c>
      <c r="F473" t="inlineStr">
        <is>
          <t>skill_name_middle7884</t>
        </is>
      </c>
    </row>
    <row r="474">
      <c r="A474" t="inlineStr">
        <is>
          <t>Erupção de Rocha</t>
        </is>
      </c>
      <c r="B474" s="2" t="inlineStr">
        <is>
          <t>f</t>
        </is>
      </c>
      <c r="C474" s="2" t="inlineStr">
        <is>
          <t>s</t>
        </is>
      </c>
      <c r="D474" t="inlineStr">
        <is>
          <t>犍岩爆发</t>
        </is>
      </c>
      <c r="E474" t="inlineStr">
        <is>
          <t>Rock Eruption</t>
        </is>
      </c>
      <c r="F474" t="inlineStr">
        <is>
          <t>skill_name_middle7891</t>
        </is>
      </c>
    </row>
    <row r="475">
      <c r="A475" t="inlineStr">
        <is>
          <t>Carga Valente</t>
        </is>
      </c>
      <c r="B475" s="2" t="inlineStr">
        <is>
          <t>f</t>
        </is>
      </c>
      <c r="C475" s="2" t="inlineStr">
        <is>
          <t>s</t>
        </is>
      </c>
      <c r="D475" t="inlineStr">
        <is>
          <t>舍身一击</t>
        </is>
      </c>
      <c r="E475" t="inlineStr">
        <is>
          <t>Brave Charge</t>
        </is>
      </c>
      <c r="F475" t="inlineStr">
        <is>
          <t>skill_name_middle7892</t>
        </is>
      </c>
    </row>
    <row r="476">
      <c r="A476" t="inlineStr">
        <is>
          <t>Escudo de Cauda</t>
        </is>
      </c>
      <c r="B476" s="2" t="inlineStr">
        <is>
          <t>m</t>
        </is>
      </c>
      <c r="C476" s="2" t="inlineStr">
        <is>
          <t>s</t>
        </is>
      </c>
      <c r="D476" t="inlineStr">
        <is>
          <t>甩尾护盾</t>
        </is>
      </c>
      <c r="E476" t="inlineStr">
        <is>
          <t>Tail Shield</t>
        </is>
      </c>
      <c r="F476" t="inlineStr">
        <is>
          <t>skill_name_middle7893</t>
        </is>
      </c>
    </row>
    <row r="477">
      <c r="A477" t="inlineStr">
        <is>
          <t>Penas pontudas</t>
        </is>
      </c>
      <c r="B477" s="2" t="inlineStr">
        <is>
          <t>f</t>
        </is>
      </c>
      <c r="C477" s="2" t="inlineStr">
        <is>
          <t>p</t>
        </is>
      </c>
      <c r="D477" t="inlineStr">
        <is>
          <t>尖羽打击</t>
        </is>
      </c>
      <c r="E477" t="inlineStr">
        <is>
          <t>Pointy Feathers</t>
        </is>
      </c>
      <c r="F477" t="inlineStr">
        <is>
          <t>skill_name_middle7901</t>
        </is>
      </c>
    </row>
    <row r="478">
      <c r="A478" t="inlineStr">
        <is>
          <t>Bicar</t>
        </is>
      </c>
      <c r="B478" s="2" t="inlineStr">
        <is>
          <t>m</t>
        </is>
      </c>
      <c r="C478" s="2" t="inlineStr">
        <is>
          <t>s</t>
        </is>
      </c>
      <c r="D478" t="inlineStr">
        <is>
          <t>啄击</t>
        </is>
      </c>
      <c r="E478" t="inlineStr">
        <is>
          <t>Pecking</t>
        </is>
      </c>
      <c r="F478" t="inlineStr">
        <is>
          <t>skill_name_middle7902</t>
        </is>
      </c>
    </row>
    <row r="479">
      <c r="A479" t="inlineStr">
        <is>
          <t>Vendaval Potente</t>
        </is>
      </c>
      <c r="B479" s="2" t="inlineStr">
        <is>
          <t>m</t>
        </is>
      </c>
      <c r="C479" s="2" t="inlineStr">
        <is>
          <t>s</t>
        </is>
      </c>
      <c r="D479" t="inlineStr">
        <is>
          <t>强风侵袭</t>
        </is>
      </c>
      <c r="E479" t="inlineStr">
        <is>
          <t>Potent Gale</t>
        </is>
      </c>
      <c r="F479" t="inlineStr">
        <is>
          <t>skill_name_middle7903</t>
        </is>
      </c>
    </row>
    <row r="480">
      <c r="A480" t="inlineStr">
        <is>
          <t>Mergulho e Ataque Repentino</t>
        </is>
      </c>
      <c r="B480" s="2" t="inlineStr">
        <is>
          <t>m</t>
        </is>
      </c>
      <c r="C480" s="2" t="inlineStr">
        <is>
          <t>s</t>
        </is>
      </c>
      <c r="D480" t="inlineStr">
        <is>
          <t>俯冲打击</t>
        </is>
      </c>
      <c r="E480" t="inlineStr">
        <is>
          <t>Plunge and Pounce</t>
        </is>
      </c>
      <c r="F480" t="inlineStr">
        <is>
          <t>skill_name_middle7906</t>
        </is>
      </c>
    </row>
    <row r="481">
      <c r="A481" t="inlineStr">
        <is>
          <t>Pancada</t>
        </is>
      </c>
      <c r="B481" s="2" t="inlineStr">
        <is>
          <t>f</t>
        </is>
      </c>
      <c r="C481" s="2" t="inlineStr">
        <is>
          <t>s</t>
        </is>
      </c>
      <c r="D481" t="inlineStr">
        <is>
          <t>狠砸</t>
        </is>
      </c>
      <c r="E481" t="inlineStr">
        <is>
          <t>Smashing</t>
        </is>
      </c>
      <c r="F481" t="inlineStr">
        <is>
          <t>skill_name_middle7921</t>
        </is>
      </c>
    </row>
    <row r="482">
      <c r="A482" t="inlineStr">
        <is>
          <t>Pedra da Calamidade</t>
        </is>
      </c>
      <c r="B482" s="2" t="inlineStr">
        <is>
          <t>f</t>
        </is>
      </c>
      <c r="C482" s="2" t="inlineStr">
        <is>
          <t>s</t>
        </is>
      </c>
      <c r="D482" t="inlineStr">
        <is>
          <t>灾祸之石</t>
        </is>
      </c>
      <c r="E482" t="inlineStr">
        <is>
          <t>Calamity Stone</t>
        </is>
      </c>
      <c r="F482" t="inlineStr">
        <is>
          <t>skill_name_middle7922</t>
        </is>
      </c>
    </row>
    <row r="483">
      <c r="A483" t="inlineStr">
        <is>
          <t>Rugido do Abismo</t>
        </is>
      </c>
      <c r="B483" s="2" t="inlineStr">
        <is>
          <t>m</t>
        </is>
      </c>
      <c r="C483" s="2" t="inlineStr">
        <is>
          <t>s</t>
        </is>
      </c>
      <c r="D483" t="inlineStr">
        <is>
          <t>深渊咆哮</t>
        </is>
      </c>
      <c r="E483" t="inlineStr">
        <is>
          <t>Abyss Roar</t>
        </is>
      </c>
      <c r="F483" t="inlineStr">
        <is>
          <t>skill_name_middle7923</t>
        </is>
      </c>
    </row>
    <row r="484">
      <c r="A484" t="inlineStr">
        <is>
          <t>Sangue Enfurecido</t>
        </is>
      </c>
      <c r="B484" s="2" t="inlineStr">
        <is>
          <t>m</t>
        </is>
      </c>
      <c r="C484" s="2" t="inlineStr">
        <is>
          <t>s</t>
        </is>
      </c>
      <c r="D484" t="inlineStr">
        <is>
          <t>狂化</t>
        </is>
      </c>
      <c r="E484" t="inlineStr">
        <is>
          <t>Berserk Blood</t>
        </is>
      </c>
      <c r="F484" t="inlineStr">
        <is>
          <t>skill_name_middle7924</t>
        </is>
      </c>
    </row>
    <row r="485">
      <c r="A485" t="inlineStr">
        <is>
          <t>Marcado pelas Cicatrizes</t>
        </is>
      </c>
      <c r="B485" s="2" t="inlineStr">
        <is>
          <t>m</t>
        </is>
      </c>
      <c r="C485" s="2" t="inlineStr">
        <is>
          <t>s</t>
        </is>
      </c>
      <c r="D485" t="inlineStr">
        <is>
          <t>击痕</t>
        </is>
      </c>
      <c r="E485" t="inlineStr">
        <is>
          <t>Scarred</t>
        </is>
      </c>
      <c r="F485" t="inlineStr">
        <is>
          <t>skill_name_middle7931</t>
        </is>
      </c>
    </row>
    <row r="486">
      <c r="A486" t="inlineStr">
        <is>
          <t>Bate e Foge</t>
        </is>
      </c>
      <c r="B486" s="2" t="inlineStr">
        <is>
          <t>m</t>
        </is>
      </c>
      <c r="C486" s="2" t="inlineStr">
        <is>
          <t>s</t>
        </is>
      </c>
      <c r="D486" t="inlineStr">
        <is>
          <t>冲旋掠杀</t>
        </is>
      </c>
      <c r="E486" t="inlineStr">
        <is>
          <t>Hit and Run</t>
        </is>
      </c>
      <c r="F486" t="inlineStr">
        <is>
          <t>skill_name_middle7932</t>
        </is>
      </c>
    </row>
    <row r="487">
      <c r="A487" t="inlineStr">
        <is>
          <t>Cicatrizes Ressonantes</t>
        </is>
      </c>
      <c r="B487" s="2" t="inlineStr">
        <is>
          <t>f</t>
        </is>
      </c>
      <c r="C487" s="2" t="inlineStr">
        <is>
          <t>p</t>
        </is>
      </c>
      <c r="D487" t="inlineStr">
        <is>
          <t>击痕爆发</t>
        </is>
      </c>
      <c r="E487" t="inlineStr">
        <is>
          <t>Resonating Scars</t>
        </is>
      </c>
      <c r="F487" t="inlineStr">
        <is>
          <t>skill_name_middle7933</t>
        </is>
      </c>
    </row>
    <row r="488">
      <c r="A488" t="inlineStr">
        <is>
          <t>Fantasmas do Juízo Final</t>
        </is>
      </c>
      <c r="B488" s="2" t="inlineStr">
        <is>
          <t>m</t>
        </is>
      </c>
      <c r="C488" s="2" t="inlineStr">
        <is>
          <t>p</t>
        </is>
      </c>
      <c r="D488" t="inlineStr">
        <is>
          <t>末日影袭</t>
        </is>
      </c>
      <c r="E488" t="inlineStr">
        <is>
          <t>Doomsday Phantoms</t>
        </is>
      </c>
      <c r="F488" t="inlineStr">
        <is>
          <t>skill_name_middle7934</t>
        </is>
      </c>
    </row>
    <row r="489">
      <c r="A489" t="inlineStr">
        <is>
          <t>Ossos da Alma</t>
        </is>
      </c>
      <c r="B489" s="2" t="inlineStr">
        <is>
          <t>m</t>
        </is>
      </c>
      <c r="C489" s="2" t="inlineStr">
        <is>
          <t>p</t>
        </is>
      </c>
      <c r="D489" t="inlineStr">
        <is>
          <t>魂骨</t>
        </is>
      </c>
      <c r="E489" t="inlineStr">
        <is>
          <t>Soul Bones</t>
        </is>
      </c>
      <c r="F489" t="inlineStr">
        <is>
          <t>skill_name_middle7941</t>
        </is>
      </c>
    </row>
    <row r="490">
      <c r="A490" t="inlineStr">
        <is>
          <t>Grilhões</t>
        </is>
      </c>
      <c r="B490" s="2" t="inlineStr">
        <is>
          <t>m</t>
        </is>
      </c>
      <c r="C490" s="2" t="inlineStr">
        <is>
          <t>p</t>
        </is>
      </c>
      <c r="D490" t="inlineStr">
        <is>
          <t>枷锁</t>
        </is>
      </c>
      <c r="E490" t="inlineStr">
        <is>
          <t>Shackles</t>
        </is>
      </c>
      <c r="F490" t="inlineStr">
        <is>
          <t>skill_name_middle79411</t>
        </is>
      </c>
    </row>
    <row r="491">
      <c r="A491" t="inlineStr">
        <is>
          <t>Chuva de Espinhos</t>
        </is>
      </c>
      <c r="B491" s="2" t="inlineStr">
        <is>
          <t>f</t>
        </is>
      </c>
      <c r="C491" s="2" t="inlineStr">
        <is>
          <t>s</t>
        </is>
      </c>
      <c r="D491" t="inlineStr">
        <is>
          <t>骨雨</t>
        </is>
      </c>
      <c r="E491" t="inlineStr">
        <is>
          <t>Rain of Spikes</t>
        </is>
      </c>
      <c r="F491" t="inlineStr">
        <is>
          <t>skill_name_middle79422</t>
        </is>
      </c>
    </row>
    <row r="492">
      <c r="A492" t="inlineStr">
        <is>
          <t>Fúria</t>
        </is>
      </c>
      <c r="B492" s="2" t="inlineStr">
        <is>
          <t>f</t>
        </is>
      </c>
      <c r="C492" s="2" t="inlineStr">
        <is>
          <t>s</t>
        </is>
      </c>
      <c r="D492" t="inlineStr">
        <is>
          <t>狂暴</t>
        </is>
      </c>
      <c r="E492" t="inlineStr">
        <is>
          <t>Berserk</t>
        </is>
      </c>
      <c r="F492" t="inlineStr">
        <is>
          <t>skill_name_middle7943</t>
        </is>
      </c>
    </row>
    <row r="493">
      <c r="A493" t="inlineStr">
        <is>
          <t>Setas de Pena</t>
        </is>
      </c>
      <c r="B493" s="2" t="inlineStr">
        <is>
          <t>f</t>
        </is>
      </c>
      <c r="C493" s="2" t="inlineStr">
        <is>
          <t>p</t>
        </is>
      </c>
      <c r="D493" t="inlineStr">
        <is>
          <t>飞羽</t>
        </is>
      </c>
      <c r="E493" t="inlineStr">
        <is>
          <t>Feather Arrows</t>
        </is>
      </c>
      <c r="F493" t="inlineStr">
        <is>
          <t>skill_name_middle7951</t>
        </is>
      </c>
    </row>
    <row r="494">
      <c r="A494" t="inlineStr">
        <is>
          <t>Tornado de Penas</t>
        </is>
      </c>
      <c r="B494" s="2" t="inlineStr">
        <is>
          <t>m</t>
        </is>
      </c>
      <c r="C494" s="2" t="inlineStr">
        <is>
          <t>s</t>
        </is>
      </c>
      <c r="D494" t="inlineStr">
        <is>
          <t>旋羽</t>
        </is>
      </c>
      <c r="E494" t="inlineStr">
        <is>
          <t>Feather Tornado</t>
        </is>
      </c>
      <c r="F494" t="inlineStr">
        <is>
          <t>skill_name_middle7952</t>
        </is>
      </c>
    </row>
    <row r="495">
      <c r="A495" t="inlineStr">
        <is>
          <t>Penas Malignas</t>
        </is>
      </c>
      <c r="B495" s="2" t="inlineStr">
        <is>
          <t>f</t>
        </is>
      </c>
      <c r="C495" s="2" t="inlineStr">
        <is>
          <t>p</t>
        </is>
      </c>
      <c r="D495" t="inlineStr">
        <is>
          <t>邪羽</t>
        </is>
      </c>
      <c r="E495" t="inlineStr">
        <is>
          <t>Evil Feathers</t>
        </is>
      </c>
      <c r="F495" t="inlineStr">
        <is>
          <t>skill_name_middle7953</t>
        </is>
      </c>
    </row>
    <row r="496">
      <c r="A496" t="inlineStr">
        <is>
          <t>Chama Gloriosa</t>
        </is>
      </c>
      <c r="B496" s="2" t="inlineStr">
        <is>
          <t>f</t>
        </is>
      </c>
      <c r="C496" s="2" t="inlineStr">
        <is>
          <t>s</t>
        </is>
      </c>
      <c r="D496" t="inlineStr">
        <is>
          <t>华焰</t>
        </is>
      </c>
      <c r="E496" t="inlineStr">
        <is>
          <t>Glorious Flame</t>
        </is>
      </c>
      <c r="F496" t="inlineStr">
        <is>
          <t>skill_name_middle7961</t>
        </is>
      </c>
    </row>
    <row r="497">
      <c r="A497" t="inlineStr">
        <is>
          <t>Chama Sobrenatural</t>
        </is>
      </c>
      <c r="B497" s="2" t="inlineStr">
        <is>
          <t>f</t>
        </is>
      </c>
      <c r="C497" s="2" t="inlineStr">
        <is>
          <t>s</t>
        </is>
      </c>
      <c r="D497" t="inlineStr">
        <is>
          <t>幽元地火</t>
        </is>
      </c>
      <c r="E497" t="inlineStr">
        <is>
          <t>Unearthly Blaze</t>
        </is>
      </c>
      <c r="F497" t="inlineStr">
        <is>
          <t>skill_name_middle7962</t>
        </is>
      </c>
    </row>
    <row r="498">
      <c r="A498" t="inlineStr">
        <is>
          <t>Corrida Deslumbrante</t>
        </is>
      </c>
      <c r="B498" s="2" t="inlineStr">
        <is>
          <t>f</t>
        </is>
      </c>
      <c r="C498" s="2" t="inlineStr">
        <is>
          <t>s</t>
        </is>
      </c>
      <c r="D498" t="inlineStr">
        <is>
          <t>烈突</t>
        </is>
      </c>
      <c r="E498" t="inlineStr">
        <is>
          <t>Dazzling Dash</t>
        </is>
      </c>
      <c r="F498" t="inlineStr">
        <is>
          <t>skill_name_middle7963</t>
        </is>
      </c>
    </row>
    <row r="499">
      <c r="A499" t="inlineStr">
        <is>
          <t>Serpente Roxa</t>
        </is>
      </c>
      <c r="B499" s="2" t="inlineStr">
        <is>
          <t>f</t>
        </is>
      </c>
      <c r="C499" s="2" t="inlineStr">
        <is>
          <t>s</t>
        </is>
      </c>
      <c r="D499" t="inlineStr">
        <is>
          <t>紫蛇</t>
        </is>
      </c>
      <c r="E499" t="inlineStr">
        <is>
          <t>Purple Serpent</t>
        </is>
      </c>
      <c r="F499" t="inlineStr">
        <is>
          <t>skill_name_middle7981</t>
        </is>
      </c>
    </row>
    <row r="500">
      <c r="A500" t="inlineStr">
        <is>
          <t>Serpente Dourada</t>
        </is>
      </c>
      <c r="B500" s="2" t="inlineStr">
        <is>
          <t>f</t>
        </is>
      </c>
      <c r="C500" s="2" t="inlineStr">
        <is>
          <t>s</t>
        </is>
      </c>
      <c r="D500" t="inlineStr">
        <is>
          <t>金蛇</t>
        </is>
      </c>
      <c r="E500" t="inlineStr">
        <is>
          <t>Golden Serpent</t>
        </is>
      </c>
      <c r="F500" t="inlineStr">
        <is>
          <t>skill_name_middle7982</t>
        </is>
      </c>
    </row>
    <row r="501">
      <c r="A501" t="inlineStr">
        <is>
          <t>Serpente Gigante</t>
        </is>
      </c>
      <c r="B501" s="2" t="inlineStr">
        <is>
          <t>f</t>
        </is>
      </c>
      <c r="C501" s="2" t="inlineStr">
        <is>
          <t>s</t>
        </is>
      </c>
      <c r="D501" t="inlineStr">
        <is>
          <t>长蛇</t>
        </is>
      </c>
      <c r="E501" t="inlineStr">
        <is>
          <t>Huge Serpent</t>
        </is>
      </c>
      <c r="F501" t="inlineStr">
        <is>
          <t>skill_name_middle7983</t>
        </is>
      </c>
    </row>
    <row r="502">
      <c r="A502" t="inlineStr">
        <is>
          <t>Veneno de Cobra</t>
        </is>
      </c>
      <c r="B502" s="2" t="inlineStr">
        <is>
          <t>m</t>
        </is>
      </c>
      <c r="C502" s="2" t="inlineStr">
        <is>
          <t>s</t>
        </is>
      </c>
      <c r="D502" t="inlineStr">
        <is>
          <t>蛇毒</t>
        </is>
      </c>
      <c r="E502" t="inlineStr">
        <is>
          <t>Snake Venom</t>
        </is>
      </c>
      <c r="F502" t="inlineStr">
        <is>
          <t>skill_name_middle7984</t>
        </is>
      </c>
    </row>
    <row r="503">
      <c r="A503" t="inlineStr">
        <is>
          <t>Chama Radiante</t>
        </is>
      </c>
      <c r="B503" s="2" t="inlineStr">
        <is>
          <t>f</t>
        </is>
      </c>
      <c r="C503" s="2" t="inlineStr">
        <is>
          <t>s</t>
        </is>
      </c>
      <c r="D503" t="inlineStr">
        <is>
          <t>至阳真火</t>
        </is>
      </c>
      <c r="E503" t="inlineStr">
        <is>
          <t>Radiant Flame</t>
        </is>
      </c>
      <c r="F503" t="inlineStr">
        <is>
          <t>skill_name_middle8001</t>
        </is>
      </c>
    </row>
    <row r="504">
      <c r="A504" t="inlineStr">
        <is>
          <t>Médico Nobre</t>
        </is>
      </c>
      <c r="B504" s="2" t="inlineStr">
        <is>
          <t>m</t>
        </is>
      </c>
      <c r="C504" s="2" t="inlineStr">
        <is>
          <t>s</t>
        </is>
      </c>
      <c r="D504" t="inlineStr">
        <is>
          <t>悬壶</t>
        </is>
      </c>
      <c r="E504" t="inlineStr">
        <is>
          <t>Noble Medic</t>
        </is>
      </c>
      <c r="F504" t="inlineStr">
        <is>
          <t>skill_name_middle800105</t>
        </is>
      </c>
    </row>
    <row r="505">
      <c r="A505" t="inlineStr">
        <is>
          <t>Meteoros flamejantes</t>
        </is>
      </c>
      <c r="B505" s="2" t="inlineStr">
        <is>
          <t>m</t>
        </is>
      </c>
      <c r="C505" s="2" t="inlineStr">
        <is>
          <t>p</t>
        </is>
      </c>
      <c r="D505" t="inlineStr">
        <is>
          <t>天火降临</t>
        </is>
      </c>
      <c r="E505" t="inlineStr">
        <is>
          <t>Blazing Meteors</t>
        </is>
      </c>
      <c r="F505" t="inlineStr">
        <is>
          <t>skill_name_middle8002</t>
        </is>
      </c>
    </row>
    <row r="506">
      <c r="A506" t="inlineStr">
        <is>
          <t>Corte Flamejante</t>
        </is>
      </c>
      <c r="B506" s="2" t="inlineStr">
        <is>
          <t>m</t>
        </is>
      </c>
      <c r="C506" s="2" t="inlineStr">
        <is>
          <t>s</t>
        </is>
      </c>
      <c r="D506" t="inlineStr">
        <is>
          <t>撩火一击</t>
        </is>
      </c>
      <c r="E506" t="inlineStr">
        <is>
          <t>Fiery Slash</t>
        </is>
      </c>
      <c r="F506" t="inlineStr">
        <is>
          <t>skill_name_middle8003</t>
        </is>
      </c>
    </row>
    <row r="507">
      <c r="A507" t="inlineStr">
        <is>
          <t>Espinhos Vilões</t>
        </is>
      </c>
      <c r="B507" s="2" t="inlineStr">
        <is>
          <t>m</t>
        </is>
      </c>
      <c r="C507" s="2" t="inlineStr">
        <is>
          <t>p</t>
        </is>
      </c>
      <c r="D507" t="inlineStr">
        <is>
          <t>孽刃尖刺</t>
        </is>
      </c>
      <c r="E507" t="inlineStr">
        <is>
          <t>Vile Spikes</t>
        </is>
      </c>
      <c r="F507" t="inlineStr">
        <is>
          <t>skill_name_middle8041</t>
        </is>
      </c>
    </row>
    <row r="508">
      <c r="A508" t="inlineStr">
        <is>
          <t>Atacante Insidioso</t>
        </is>
      </c>
      <c r="B508" s="2" t="inlineStr">
        <is>
          <t>m</t>
        </is>
      </c>
      <c r="C508" s="2" t="inlineStr">
        <is>
          <t>s</t>
        </is>
      </c>
      <c r="D508" t="inlineStr">
        <is>
          <t>隐烈一击</t>
        </is>
      </c>
      <c r="E508" t="inlineStr">
        <is>
          <t>Insidious Attacker</t>
        </is>
      </c>
      <c r="F508" t="inlineStr">
        <is>
          <t>skill_name_middle8042</t>
        </is>
      </c>
    </row>
    <row r="509">
      <c r="A509" t="inlineStr">
        <is>
          <t>Todos por Um</t>
        </is>
      </c>
      <c r="B509" s="2" t="inlineStr">
        <is>
          <t>m</t>
        </is>
      </c>
      <c r="C509" s="2" t="inlineStr">
        <is>
          <t>p</t>
        </is>
      </c>
      <c r="D509" t="inlineStr">
        <is>
          <t>人人为我</t>
        </is>
      </c>
      <c r="E509" t="inlineStr">
        <is>
          <t>All for One</t>
        </is>
      </c>
      <c r="F509" t="inlineStr">
        <is>
          <t>skill_name_middle8043</t>
        </is>
      </c>
    </row>
    <row r="510">
      <c r="A510" t="inlineStr">
        <is>
          <t>Quebre o Selo</t>
        </is>
      </c>
      <c r="B510" s="2" t="inlineStr">
        <is>
          <t>m</t>
        </is>
      </c>
      <c r="C510" s="2" t="inlineStr">
        <is>
          <t>s</t>
        </is>
      </c>
      <c r="D510" t="inlineStr">
        <is>
          <t>封印爆发</t>
        </is>
      </c>
      <c r="E510" t="inlineStr">
        <is>
          <t>Break the Seal</t>
        </is>
      </c>
      <c r="F510" t="inlineStr">
        <is>
          <t>skill_name_middle8044</t>
        </is>
      </c>
    </row>
    <row r="511">
      <c r="A511" t="inlineStr">
        <is>
          <t>Renascer das Cinzas</t>
        </is>
      </c>
      <c r="B511" s="2" t="inlineStr">
        <is>
          <t>m</t>
        </is>
      </c>
      <c r="C511" s="2" t="inlineStr">
        <is>
          <t>s</t>
        </is>
      </c>
      <c r="D511" t="inlineStr">
        <is>
          <t>浴火重生</t>
        </is>
      </c>
      <c r="E511" t="inlineStr">
        <is>
          <t>Rise from Ashes</t>
        </is>
      </c>
      <c r="F511" t="inlineStr">
        <is>
          <t>skill_name_middle8051</t>
        </is>
      </c>
    </row>
    <row r="512">
      <c r="A512" t="inlineStr">
        <is>
          <t>Queda de Fogo</t>
        </is>
      </c>
      <c r="B512" s="2" t="inlineStr">
        <is>
          <t>f</t>
        </is>
      </c>
      <c r="C512" s="2" t="inlineStr">
        <is>
          <t>s</t>
        </is>
      </c>
      <c r="D512" t="inlineStr">
        <is>
          <t>火坠苍穹</t>
        </is>
      </c>
      <c r="E512" t="inlineStr">
        <is>
          <t>Firefall</t>
        </is>
      </c>
      <c r="F512" t="inlineStr">
        <is>
          <t>skill_name_middle8052</t>
        </is>
      </c>
    </row>
    <row r="513">
      <c r="A513" t="inlineStr">
        <is>
          <t>Chamas macabras</t>
        </is>
      </c>
      <c r="B513" s="2" t="inlineStr">
        <is>
          <t>f</t>
        </is>
      </c>
      <c r="C513" s="2" t="inlineStr">
        <is>
          <t>p</t>
        </is>
      </c>
      <c r="D513" t="inlineStr">
        <is>
          <t>磷火穿魂</t>
        </is>
      </c>
      <c r="E513" t="inlineStr">
        <is>
          <t>Ghastly Flames</t>
        </is>
      </c>
      <c r="F513" t="inlineStr">
        <is>
          <t>skill_name_middle8053</t>
        </is>
      </c>
    </row>
    <row r="514">
      <c r="A514" t="inlineStr">
        <is>
          <t>Garras do Roc</t>
        </is>
      </c>
      <c r="B514" s="2" t="inlineStr">
        <is>
          <t>f</t>
        </is>
      </c>
      <c r="C514" s="2" t="inlineStr">
        <is>
          <t>p</t>
        </is>
      </c>
      <c r="D514" t="inlineStr">
        <is>
          <t>鲲鹏獠爪</t>
        </is>
      </c>
      <c r="E514" t="inlineStr">
        <is>
          <t>Roc's Talons</t>
        </is>
      </c>
      <c r="F514" t="inlineStr">
        <is>
          <t>skill_name_middle8061</t>
        </is>
      </c>
    </row>
    <row r="515">
      <c r="A515" t="inlineStr">
        <is>
          <t>Tornados do Tridente</t>
        </is>
      </c>
      <c r="B515" s="2" t="inlineStr">
        <is>
          <t>m</t>
        </is>
      </c>
      <c r="C515" s="2" t="inlineStr">
        <is>
          <t>p</t>
        </is>
      </c>
      <c r="D515" t="inlineStr">
        <is>
          <t>龙卷冲击</t>
        </is>
      </c>
      <c r="E515" t="inlineStr">
        <is>
          <t>Trident Tornados</t>
        </is>
      </c>
      <c r="F515" t="inlineStr">
        <is>
          <t>skill_name_middle8062</t>
        </is>
      </c>
    </row>
    <row r="516">
      <c r="A516" t="inlineStr">
        <is>
          <t>Oceano Sem Fronteiras</t>
        </is>
      </c>
      <c r="B516" s="2" t="inlineStr">
        <is>
          <t>m</t>
        </is>
      </c>
      <c r="C516" s="2" t="inlineStr">
        <is>
          <t>s</t>
        </is>
      </c>
      <c r="D516" t="inlineStr">
        <is>
          <t>大海无量</t>
        </is>
      </c>
      <c r="E516" t="inlineStr">
        <is>
          <t>Boundless Ocean</t>
        </is>
      </c>
      <c r="F516" t="inlineStr">
        <is>
          <t>skill_name_middle8063</t>
        </is>
      </c>
    </row>
    <row r="517">
      <c r="A517" t="inlineStr">
        <is>
          <t>Tentativa rápida</t>
        </is>
      </c>
      <c r="B517" s="2" t="inlineStr">
        <is>
          <t>f</t>
        </is>
      </c>
      <c r="C517" s="2" t="inlineStr">
        <is>
          <t>s</t>
        </is>
      </c>
      <c r="D517" t="inlineStr">
        <is>
          <t>迅猛一击</t>
        </is>
      </c>
      <c r="E517" t="inlineStr">
        <is>
          <t>Rapid Attempt</t>
        </is>
      </c>
      <c r="F517" t="inlineStr">
        <is>
          <t>skill_name_middle8071</t>
        </is>
      </c>
    </row>
    <row r="518">
      <c r="A518" t="inlineStr">
        <is>
          <t>Flechas Douradas</t>
        </is>
      </c>
      <c r="B518" s="2" t="inlineStr">
        <is>
          <t>f</t>
        </is>
      </c>
      <c r="C518" s="2" t="inlineStr">
        <is>
          <t>p</t>
        </is>
      </c>
      <c r="D518" t="inlineStr">
        <is>
          <t>金鸿追命</t>
        </is>
      </c>
      <c r="E518" t="inlineStr">
        <is>
          <t>Golden Arrows</t>
        </is>
      </c>
      <c r="F518" t="inlineStr">
        <is>
          <t>skill_name_middle8072</t>
        </is>
      </c>
    </row>
    <row r="519">
      <c r="A519" t="inlineStr">
        <is>
          <t>Dardos de Pena</t>
        </is>
      </c>
      <c r="B519" s="2" t="inlineStr">
        <is>
          <t>m</t>
        </is>
      </c>
      <c r="C519" s="2" t="inlineStr">
        <is>
          <t>p</t>
        </is>
      </c>
      <c r="D519" t="inlineStr">
        <is>
          <t>乱羽散华</t>
        </is>
      </c>
      <c r="E519" t="inlineStr">
        <is>
          <t>Feather Darts</t>
        </is>
      </c>
      <c r="F519" t="inlineStr">
        <is>
          <t>skill_name_middle8073</t>
        </is>
      </c>
    </row>
    <row r="520">
      <c r="A520" t="inlineStr">
        <is>
          <t>Chifre de Dangkang</t>
        </is>
      </c>
      <c r="B520" s="2" t="inlineStr">
        <is>
          <t>m</t>
        </is>
      </c>
      <c r="C520" s="2" t="inlineStr">
        <is>
          <t>s</t>
        </is>
      </c>
      <c r="D520" t="inlineStr">
        <is>
          <t>当康角</t>
        </is>
      </c>
      <c r="E520" t="inlineStr">
        <is>
          <t>Dangkang Horn</t>
        </is>
      </c>
      <c r="F520" t="inlineStr">
        <is>
          <t>skill_name_middle81011</t>
        </is>
      </c>
    </row>
    <row r="521">
      <c r="A521" t="inlineStr">
        <is>
          <t>Corno de Hatuibwari</t>
        </is>
      </c>
      <c r="B521" s="2" t="inlineStr">
        <is>
          <t>m</t>
        </is>
      </c>
      <c r="C521" s="2" t="inlineStr">
        <is>
          <t>s</t>
        </is>
      </c>
      <c r="D521" t="inlineStr">
        <is>
          <t>雷神角</t>
        </is>
      </c>
      <c r="E521" t="inlineStr">
        <is>
          <t>Hatuibwari Horn</t>
        </is>
      </c>
      <c r="F521" t="inlineStr">
        <is>
          <t>skill_name_middle810211</t>
        </is>
      </c>
    </row>
    <row r="522">
      <c r="A522" t="inlineStr">
        <is>
          <t>Pedra de Cauda de Serpente</t>
        </is>
      </c>
      <c r="B522" s="2" t="inlineStr">
        <is>
          <t>f</t>
        </is>
      </c>
      <c r="C522" s="2" t="inlineStr">
        <is>
          <t>s</t>
        </is>
      </c>
      <c r="D522" t="inlineStr">
        <is>
          <t>蛇尾磐</t>
        </is>
      </c>
      <c r="E522" t="inlineStr">
        <is>
          <t>Snaketail Stone</t>
        </is>
      </c>
      <c r="F522" t="inlineStr">
        <is>
          <t>skill_name_middle81031</t>
        </is>
      </c>
    </row>
    <row r="523">
      <c r="A523" t="inlineStr">
        <is>
          <t>Risada</t>
        </is>
      </c>
      <c r="B523" s="2" t="inlineStr">
        <is>
          <t>f</t>
        </is>
      </c>
      <c r="C523" s="2" t="inlineStr">
        <is>
          <t>s</t>
        </is>
      </c>
      <c r="D523" t="inlineStr">
        <is>
          <t>笑面</t>
        </is>
      </c>
      <c r="E523" t="inlineStr">
        <is>
          <t>Laugh</t>
        </is>
      </c>
      <c r="F523" t="inlineStr">
        <is>
          <t>skill_name_middle81041</t>
        </is>
      </c>
    </row>
    <row r="524">
      <c r="A524" t="inlineStr">
        <is>
          <t>Mangual da Pantera</t>
        </is>
      </c>
      <c r="B524" s="2" t="inlineStr">
        <is>
          <t>m</t>
        </is>
      </c>
      <c r="C524" s="2" t="inlineStr">
        <is>
          <t>s</t>
        </is>
      </c>
      <c r="D524" t="inlineStr">
        <is>
          <t>豹尾鞭</t>
        </is>
      </c>
      <c r="E524" t="inlineStr">
        <is>
          <t>Panther Flail</t>
        </is>
      </c>
      <c r="F524" t="inlineStr">
        <is>
          <t>skill_name_middle81051</t>
        </is>
      </c>
    </row>
    <row r="525">
      <c r="A525" t="inlineStr">
        <is>
          <t>Olho do Mar</t>
        </is>
      </c>
      <c r="B525" s="2" t="inlineStr">
        <is>
          <t>m</t>
        </is>
      </c>
      <c r="C525" s="2" t="inlineStr">
        <is>
          <t>s</t>
        </is>
      </c>
      <c r="D525" t="inlineStr">
        <is>
          <t>海心眼</t>
        </is>
      </c>
      <c r="E525" t="inlineStr">
        <is>
          <t>Eye of the Sea</t>
        </is>
      </c>
      <c r="F525" t="inlineStr">
        <is>
          <t>skill_name_middle81061</t>
        </is>
      </c>
    </row>
    <row r="526">
      <c r="A526" t="inlineStr">
        <is>
          <t>Pele da Abominação</t>
        </is>
      </c>
      <c r="B526" s="2" t="inlineStr">
        <is>
          <t>f</t>
        </is>
      </c>
      <c r="C526" s="2" t="inlineStr">
        <is>
          <t>s</t>
        </is>
      </c>
      <c r="D526" t="inlineStr">
        <is>
          <t>孟极皮</t>
        </is>
      </c>
      <c r="E526" t="inlineStr">
        <is>
          <t>Abomination Skin</t>
        </is>
      </c>
      <c r="F526" t="inlineStr">
        <is>
          <t>skill_name_middle81071</t>
        </is>
      </c>
    </row>
    <row r="527">
      <c r="A527" t="inlineStr">
        <is>
          <t>Artefato da Espada</t>
        </is>
      </c>
      <c r="B527" s="2" t="inlineStr">
        <is>
          <t>m</t>
        </is>
      </c>
      <c r="C527" s="2" t="inlineStr">
        <is>
          <t>s</t>
        </is>
      </c>
      <c r="D527" t="inlineStr">
        <is>
          <t>剑法宝</t>
        </is>
      </c>
      <c r="E527" t="inlineStr">
        <is>
          <t>Sword Artifact</t>
        </is>
      </c>
      <c r="F527" t="inlineStr">
        <is>
          <t>skill_name_middle81081</t>
        </is>
      </c>
    </row>
    <row r="528">
      <c r="A528" t="inlineStr">
        <is>
          <t>Artefato do Renascimento</t>
        </is>
      </c>
      <c r="B528" s="2" t="inlineStr">
        <is>
          <t>m</t>
        </is>
      </c>
      <c r="C528" s="2" t="inlineStr">
        <is>
          <t>s</t>
        </is>
      </c>
      <c r="D528" t="inlineStr">
        <is>
          <t>羽化法宝</t>
        </is>
      </c>
      <c r="E528" t="inlineStr">
        <is>
          <t>Reborn Artifact</t>
        </is>
      </c>
      <c r="F528" t="inlineStr">
        <is>
          <t>skill_name_middle81091</t>
        </is>
      </c>
    </row>
    <row r="529">
      <c r="A529" t="inlineStr">
        <is>
          <t>Habilidade de Invocação de Marionetes de Sangue</t>
        </is>
      </c>
      <c r="B529" s="2" t="inlineStr">
        <is>
          <t>f</t>
        </is>
      </c>
      <c r="C529" s="2" t="inlineStr">
        <is>
          <t>s</t>
        </is>
      </c>
      <c r="D529" t="inlineStr">
        <is>
          <t>持续召唤血傀儡技能</t>
        </is>
      </c>
      <c r="E529" t="inlineStr">
        <is>
          <t>Blood Puppets Summoning Skill</t>
        </is>
      </c>
      <c r="F529" t="inlineStr">
        <is>
          <t>skill_name_middle8109114</t>
        </is>
      </c>
    </row>
    <row r="530">
      <c r="A530" t="inlineStr">
        <is>
          <t>Artefato de Transcendência</t>
        </is>
      </c>
      <c r="B530" s="2" t="inlineStr">
        <is>
          <t>m</t>
        </is>
      </c>
      <c r="C530" s="2" t="inlineStr">
        <is>
          <t>s</t>
        </is>
      </c>
      <c r="D530" t="inlineStr">
        <is>
          <t>登仙法宝</t>
        </is>
      </c>
      <c r="E530" t="inlineStr">
        <is>
          <t>Transcendent Artifact</t>
        </is>
      </c>
      <c r="F530" t="inlineStr">
        <is>
          <t>skill_name_middle8110011</t>
        </is>
      </c>
    </row>
    <row r="531">
      <c r="A531" t="inlineStr">
        <is>
          <t>Trovões estrondosos</t>
        </is>
      </c>
      <c r="B531" s="2" t="inlineStr">
        <is>
          <t>m</t>
        </is>
      </c>
      <c r="C531" s="2" t="inlineStr">
        <is>
          <t>p</t>
        </is>
      </c>
      <c r="D531" t="inlineStr">
        <is>
          <t>雷力喷涌</t>
        </is>
      </c>
      <c r="E531" t="inlineStr">
        <is>
          <t>Gushing Thunder</t>
        </is>
      </c>
      <c r="F531" t="inlineStr">
        <is>
          <t>skill_name_middle8111</t>
        </is>
      </c>
    </row>
    <row r="532">
      <c r="A532" t="inlineStr">
        <is>
          <t>Relâmpago Ascendente</t>
        </is>
      </c>
      <c r="B532" s="2" t="inlineStr">
        <is>
          <t>m</t>
        </is>
      </c>
      <c r="C532" s="2" t="inlineStr">
        <is>
          <t>s</t>
        </is>
      </c>
      <c r="D532" t="inlineStr">
        <is>
          <t>雷暴凌地</t>
        </is>
      </c>
      <c r="E532" t="inlineStr">
        <is>
          <t>Soaring Lightning</t>
        </is>
      </c>
      <c r="F532" t="inlineStr">
        <is>
          <t>skill_name_middle8112</t>
        </is>
      </c>
    </row>
    <row r="533">
      <c r="A533" t="inlineStr">
        <is>
          <t>Trovão que Divide o Sol</t>
        </is>
      </c>
      <c r="B533" s="2" t="inlineStr">
        <is>
          <t>m</t>
        </is>
      </c>
      <c r="C533" s="2" t="inlineStr">
        <is>
          <t>s</t>
        </is>
      </c>
      <c r="D533" t="inlineStr">
        <is>
          <t>凌日硝雷</t>
        </is>
      </c>
      <c r="E533" t="inlineStr">
        <is>
          <t>Sunspliting Thunder</t>
        </is>
      </c>
      <c r="F533" t="inlineStr">
        <is>
          <t>skill_name_middle8113</t>
        </is>
      </c>
    </row>
    <row r="534">
      <c r="A534" t="inlineStr">
        <is>
          <t>Penas Eriçadas</t>
        </is>
      </c>
      <c r="B534" s="2" t="inlineStr">
        <is>
          <t>f</t>
        </is>
      </c>
      <c r="C534" s="2" t="inlineStr">
        <is>
          <t>p</t>
        </is>
      </c>
      <c r="D534" t="inlineStr">
        <is>
          <t>乱羽随心</t>
        </is>
      </c>
      <c r="E534" t="inlineStr">
        <is>
          <t>Ruffled Feathers</t>
        </is>
      </c>
      <c r="F534" t="inlineStr">
        <is>
          <t>skill_name_middle8121</t>
        </is>
      </c>
    </row>
    <row r="535">
      <c r="A535" t="inlineStr">
        <is>
          <t>Garra Rápida</t>
        </is>
      </c>
      <c r="B535" s="2" t="inlineStr">
        <is>
          <t>f</t>
        </is>
      </c>
      <c r="C535" s="2" t="inlineStr">
        <is>
          <t>s</t>
        </is>
      </c>
      <c r="D535" t="inlineStr">
        <is>
          <t>迅猛爪击</t>
        </is>
      </c>
      <c r="E535" t="inlineStr">
        <is>
          <t>Rapid Clawing</t>
        </is>
      </c>
      <c r="F535" t="inlineStr">
        <is>
          <t>skill_name_middle8122</t>
        </is>
      </c>
    </row>
    <row r="536">
      <c r="A536" t="inlineStr">
        <is>
          <t>Gume da Pena</t>
        </is>
      </c>
      <c r="B536" s="2" t="inlineStr">
        <is>
          <t>m</t>
        </is>
      </c>
      <c r="C536" s="2" t="inlineStr">
        <is>
          <t>s</t>
        </is>
      </c>
      <c r="D536" t="inlineStr">
        <is>
          <t>玄鸟利刃</t>
        </is>
      </c>
      <c r="E536" t="inlineStr">
        <is>
          <t>Feather's Edge</t>
        </is>
      </c>
      <c r="F536" t="inlineStr">
        <is>
          <t>skill_name_middle8123</t>
        </is>
      </c>
    </row>
    <row r="537">
      <c r="A537" t="inlineStr">
        <is>
          <t>Veneno despercebido</t>
        </is>
      </c>
      <c r="B537" s="2" t="inlineStr">
        <is>
          <t>m</t>
        </is>
      </c>
      <c r="C537" s="2" t="inlineStr">
        <is>
          <t>s</t>
        </is>
      </c>
      <c r="D537" t="inlineStr">
        <is>
          <t>绵毒</t>
        </is>
      </c>
      <c r="E537" t="inlineStr">
        <is>
          <t>Unnoticed Poison</t>
        </is>
      </c>
      <c r="F537" t="inlineStr">
        <is>
          <t>skill_name_middle8131</t>
        </is>
      </c>
    </row>
    <row r="538">
      <c r="A538" t="inlineStr">
        <is>
          <t>Toxina maliciosa</t>
        </is>
      </c>
      <c r="B538" s="2" t="inlineStr">
        <is>
          <t>f</t>
        </is>
      </c>
      <c r="C538" s="2" t="inlineStr">
        <is>
          <t>s</t>
        </is>
      </c>
      <c r="D538" t="inlineStr">
        <is>
          <t>森森之毒</t>
        </is>
      </c>
      <c r="E538" t="inlineStr">
        <is>
          <t>Malicious Toxin</t>
        </is>
      </c>
      <c r="F538" t="inlineStr">
        <is>
          <t>skill_name_middle8132</t>
        </is>
      </c>
    </row>
    <row r="539">
      <c r="A539" t="inlineStr">
        <is>
          <t>Telas venenosas</t>
        </is>
      </c>
      <c r="B539" s="2" t="inlineStr">
        <is>
          <t>f</t>
        </is>
      </c>
      <c r="C539" s="2" t="inlineStr">
        <is>
          <t>p</t>
        </is>
      </c>
      <c r="D539" t="inlineStr">
        <is>
          <t>毒幕覆盖</t>
        </is>
      </c>
      <c r="E539" t="inlineStr">
        <is>
          <t>Venomous Screens</t>
        </is>
      </c>
      <c r="F539" t="inlineStr">
        <is>
          <t>skill_name_middle8133</t>
        </is>
      </c>
    </row>
    <row r="540">
      <c r="A540" t="inlineStr">
        <is>
          <t>Essência do Veneno</t>
        </is>
      </c>
      <c r="B540" s="2" t="inlineStr">
        <is>
          <t>f</t>
        </is>
      </c>
      <c r="C540" s="2" t="inlineStr">
        <is>
          <t>s</t>
        </is>
      </c>
      <c r="D540" t="inlineStr">
        <is>
          <t>毒之本源</t>
        </is>
      </c>
      <c r="E540" t="inlineStr">
        <is>
          <t>Essence of Poison</t>
        </is>
      </c>
      <c r="F540" t="inlineStr">
        <is>
          <t>skill_name_middle8134</t>
        </is>
      </c>
    </row>
    <row r="541">
      <c r="A541" t="inlineStr">
        <is>
          <t>A chegada do inverno</t>
        </is>
      </c>
      <c r="B541" s="2" t="inlineStr">
        <is>
          <t>m</t>
        </is>
      </c>
      <c r="C541" s="2" t="inlineStr">
        <is>
          <t>s</t>
        </is>
      </c>
      <c r="D541" t="inlineStr">
        <is>
          <t>凛冬降临</t>
        </is>
      </c>
      <c r="E541" t="inlineStr">
        <is>
          <t>Winter's Arrival</t>
        </is>
      </c>
      <c r="F541" t="inlineStr">
        <is>
          <t>skill_name_middle8141</t>
        </is>
      </c>
    </row>
    <row r="542">
      <c r="A542" t="inlineStr">
        <is>
          <t>Picos de Gelo Afiados</t>
        </is>
      </c>
      <c r="B542" s="2" t="inlineStr">
        <is>
          <t>m</t>
        </is>
      </c>
      <c r="C542" s="2" t="inlineStr">
        <is>
          <t>p</t>
        </is>
      </c>
      <c r="D542" t="inlineStr">
        <is>
          <t>刺骨寒锥</t>
        </is>
      </c>
      <c r="E542" t="inlineStr">
        <is>
          <t>Sharp Icicles</t>
        </is>
      </c>
      <c r="F542" t="inlineStr">
        <is>
          <t>skill_name_middle8142</t>
        </is>
      </c>
    </row>
    <row r="543">
      <c r="A543" t="inlineStr">
        <is>
          <t>Armadilha de Gelo</t>
        </is>
      </c>
      <c r="B543" s="2" t="inlineStr">
        <is>
          <t>f</t>
        </is>
      </c>
      <c r="C543" s="2" t="inlineStr">
        <is>
          <t>s</t>
        </is>
      </c>
      <c r="D543" t="inlineStr">
        <is>
          <t>寒霜陷阱</t>
        </is>
      </c>
      <c r="E543" t="inlineStr">
        <is>
          <t>Frost Trap</t>
        </is>
      </c>
      <c r="F543" t="inlineStr">
        <is>
          <t>skill_name_middle8143</t>
        </is>
      </c>
    </row>
    <row r="544">
      <c r="A544" t="inlineStr">
        <is>
          <t>Mãe Terra</t>
        </is>
      </c>
      <c r="B544" s="2" t="inlineStr">
        <is>
          <t>f</t>
        </is>
      </c>
      <c r="C544" s="2" t="inlineStr">
        <is>
          <t>s</t>
        </is>
      </c>
      <c r="D544" t="inlineStr">
        <is>
          <t>大地之母</t>
        </is>
      </c>
      <c r="E544" t="inlineStr">
        <is>
          <t>Mother Earth</t>
        </is>
      </c>
      <c r="F544" t="inlineStr">
        <is>
          <t>skill_name_middle8151</t>
        </is>
      </c>
    </row>
    <row r="545">
      <c r="A545" t="inlineStr">
        <is>
          <t>O Peso da Montanha</t>
        </is>
      </c>
      <c r="B545" s="2" t="inlineStr">
        <is>
          <t>m</t>
        </is>
      </c>
      <c r="C545" s="2" t="inlineStr">
        <is>
          <t>s</t>
        </is>
      </c>
      <c r="D545" t="inlineStr">
        <is>
          <t>移山填海</t>
        </is>
      </c>
      <c r="E545" t="inlineStr">
        <is>
          <t>Mountain's Weight</t>
        </is>
      </c>
      <c r="F545" t="inlineStr">
        <is>
          <t>skill_name_middle8152</t>
        </is>
      </c>
    </row>
    <row r="546">
      <c r="A546" t="inlineStr">
        <is>
          <t>Terreno intransitável</t>
        </is>
      </c>
      <c r="B546" s="2" t="inlineStr">
        <is>
          <t>m</t>
        </is>
      </c>
      <c r="C546" s="2" t="inlineStr">
        <is>
          <t>s</t>
        </is>
      </c>
      <c r="D546" t="inlineStr">
        <is>
          <t>千山万壑</t>
        </is>
      </c>
      <c r="E546" t="inlineStr">
        <is>
          <t>Impassable Terrain</t>
        </is>
      </c>
      <c r="F546" t="inlineStr">
        <is>
          <t>skill_name_middle81521</t>
        </is>
      </c>
    </row>
    <row r="547">
      <c r="A547" t="inlineStr">
        <is>
          <t>Espírito das Montanhas</t>
        </is>
      </c>
      <c r="B547" s="2" t="inlineStr">
        <is>
          <t>m</t>
        </is>
      </c>
      <c r="C547" s="2" t="inlineStr">
        <is>
          <t>s</t>
        </is>
      </c>
      <c r="D547" t="inlineStr">
        <is>
          <t>大山之灵</t>
        </is>
      </c>
      <c r="E547" t="inlineStr">
        <is>
          <t>Spirit of Mountains</t>
        </is>
      </c>
      <c r="F547" t="inlineStr">
        <is>
          <t>skill_name_middle81522</t>
        </is>
      </c>
    </row>
    <row r="548">
      <c r="A548" t="inlineStr">
        <is>
          <t>Chamas Brancas Ardentes</t>
        </is>
      </c>
      <c r="B548" s="2" t="inlineStr">
        <is>
          <t>f</t>
        </is>
      </c>
      <c r="C548" s="2" t="inlineStr">
        <is>
          <t>p</t>
        </is>
      </c>
      <c r="D548" t="inlineStr">
        <is>
          <t>安魂白焰</t>
        </is>
      </c>
      <c r="E548" t="inlineStr">
        <is>
          <t>Ardent White Flames</t>
        </is>
      </c>
      <c r="F548" t="inlineStr">
        <is>
          <t>skill_name_middle8161</t>
        </is>
      </c>
    </row>
    <row r="549">
      <c r="A549" t="inlineStr">
        <is>
          <t>Bolas de Fogo Ameaçadoras</t>
        </is>
      </c>
      <c r="B549" s="2" t="inlineStr">
        <is>
          <t>f</t>
        </is>
      </c>
      <c r="C549" s="2" t="inlineStr">
        <is>
          <t>p</t>
        </is>
      </c>
      <c r="D549" t="inlineStr">
        <is>
          <t>阴炎喷涌</t>
        </is>
      </c>
      <c r="E549" t="inlineStr">
        <is>
          <t>Ominous Fireballs</t>
        </is>
      </c>
      <c r="F549" t="inlineStr">
        <is>
          <t>skill_name_middle8162</t>
        </is>
      </c>
    </row>
    <row r="550">
      <c r="A550" t="inlineStr">
        <is>
          <t>Chamas Brancas Explodem</t>
        </is>
      </c>
      <c r="B550" s="2" t="inlineStr">
        <is>
          <t>f</t>
        </is>
      </c>
      <c r="C550" s="2" t="inlineStr">
        <is>
          <t>p</t>
        </is>
      </c>
      <c r="D550" t="inlineStr">
        <is>
          <t>白焰散射</t>
        </is>
      </c>
      <c r="E550" t="inlineStr">
        <is>
          <t>White Flames Burst</t>
        </is>
      </c>
      <c r="F550" t="inlineStr">
        <is>
          <t>skill_name_middle8163</t>
        </is>
      </c>
    </row>
    <row r="551">
      <c r="A551" t="inlineStr">
        <is>
          <t>Sabor de cogumelo</t>
        </is>
      </c>
      <c r="B551" s="2" t="inlineStr">
        <is>
          <t>m</t>
        </is>
      </c>
      <c r="C551" s="2" t="inlineStr">
        <is>
          <t>s</t>
        </is>
      </c>
      <c r="D551" t="inlineStr">
        <is>
          <t>菇之味</t>
        </is>
      </c>
      <c r="E551" t="inlineStr">
        <is>
          <t>Taste of Mushroom</t>
        </is>
      </c>
      <c r="F551" t="inlineStr">
        <is>
          <t>skill_name_middle8171</t>
        </is>
      </c>
    </row>
    <row r="552">
      <c r="A552" t="inlineStr">
        <is>
          <t>Golpe dos Cogumelos</t>
        </is>
      </c>
      <c r="B552" s="2" t="inlineStr">
        <is>
          <t>m</t>
        </is>
      </c>
      <c r="C552" s="2" t="inlineStr">
        <is>
          <t>s</t>
        </is>
      </c>
      <c r="D552" t="inlineStr">
        <is>
          <t>看菇一击</t>
        </is>
      </c>
      <c r="E552" t="inlineStr">
        <is>
          <t>Strike of Mushroom</t>
        </is>
      </c>
      <c r="F552" t="inlineStr">
        <is>
          <t>skill_name_middle8172</t>
        </is>
      </c>
    </row>
    <row r="553">
      <c r="A553" t="inlineStr">
        <is>
          <t>Ataque dos Muitos Cogumelos</t>
        </is>
      </c>
      <c r="B553" s="2" t="inlineStr">
        <is>
          <t>m</t>
        </is>
      </c>
      <c r="C553" s="2" t="inlineStr">
        <is>
          <t>s</t>
        </is>
      </c>
      <c r="D553" t="inlineStr">
        <is>
          <t>看菇连续一击</t>
        </is>
      </c>
      <c r="E553" t="inlineStr">
        <is>
          <t>Strike of Many Mushrooms</t>
        </is>
      </c>
      <c r="F553" t="inlineStr">
        <is>
          <t>skill_name_middle8173</t>
        </is>
      </c>
    </row>
    <row r="554">
      <c r="A554" t="inlineStr">
        <is>
          <t>Pegue este cogumelo</t>
        </is>
      </c>
      <c r="B554" s="2" t="inlineStr">
        <is>
          <t>m</t>
        </is>
      </c>
      <c r="C554" s="2" t="inlineStr">
        <is>
          <t>s</t>
        </is>
      </c>
      <c r="D554" t="inlineStr">
        <is>
          <t>食我一菇</t>
        </is>
      </c>
      <c r="E554" t="inlineStr">
        <is>
          <t>Take this Mushroom</t>
        </is>
      </c>
      <c r="F554" t="inlineStr">
        <is>
          <t>skill_name_middle8181</t>
        </is>
      </c>
    </row>
    <row r="555">
      <c r="A555" t="inlineStr">
        <is>
          <t>Guerreiro Orgulhoso</t>
        </is>
      </c>
      <c r="B555" s="2" t="inlineStr">
        <is>
          <t>m</t>
        </is>
      </c>
      <c r="C555" s="2" t="inlineStr">
        <is>
          <t>s</t>
        </is>
      </c>
      <c r="D555" t="inlineStr">
        <is>
          <t>高傲之姿</t>
        </is>
      </c>
      <c r="E555" t="inlineStr">
        <is>
          <t>Proud Warrior</t>
        </is>
      </c>
      <c r="F555" t="inlineStr">
        <is>
          <t>skill_name_middle8191</t>
        </is>
      </c>
    </row>
    <row r="556">
      <c r="A556" t="inlineStr">
        <is>
          <t>Tentativa destemida</t>
        </is>
      </c>
      <c r="B556" s="2" t="inlineStr">
        <is>
          <t>f</t>
        </is>
      </c>
      <c r="C556" s="2" t="inlineStr">
        <is>
          <t>s</t>
        </is>
      </c>
      <c r="D556" t="inlineStr">
        <is>
          <t>勇猛一击</t>
        </is>
      </c>
      <c r="E556" t="inlineStr">
        <is>
          <t>Intrepid Attempt</t>
        </is>
      </c>
      <c r="F556" t="inlineStr">
        <is>
          <t>skill_name_middle8192</t>
        </is>
      </c>
    </row>
    <row r="557">
      <c r="A557" t="inlineStr">
        <is>
          <t>Golpe de Lança</t>
        </is>
      </c>
      <c r="B557" s="2" t="inlineStr">
        <is>
          <t>m</t>
        </is>
      </c>
      <c r="C557" s="2" t="inlineStr">
        <is>
          <t>s</t>
        </is>
      </c>
      <c r="D557" t="inlineStr">
        <is>
          <t>强力枪击</t>
        </is>
      </c>
      <c r="E557" t="inlineStr">
        <is>
          <t>Spear Thrust</t>
        </is>
      </c>
      <c r="F557" t="inlineStr">
        <is>
          <t>skill_name_middle8193</t>
        </is>
      </c>
    </row>
    <row r="558">
      <c r="A558" t="inlineStr">
        <is>
          <t>Chuva de Lanças</t>
        </is>
      </c>
      <c r="B558" s="2" t="inlineStr">
        <is>
          <t>f</t>
        </is>
      </c>
      <c r="C558" s="2" t="inlineStr">
        <is>
          <t>s</t>
        </is>
      </c>
      <c r="D558" t="inlineStr">
        <is>
          <t>斗神乱打</t>
        </is>
      </c>
      <c r="E558" t="inlineStr">
        <is>
          <t>Spear Hail</t>
        </is>
      </c>
      <c r="F558" t="inlineStr">
        <is>
          <t>skill_name_middle8194</t>
        </is>
      </c>
    </row>
    <row r="559">
      <c r="A559" t="inlineStr">
        <is>
          <t>Majestade Divina</t>
        </is>
      </c>
      <c r="B559" s="2" t="inlineStr">
        <is>
          <t>f</t>
        </is>
      </c>
      <c r="C559" s="2" t="inlineStr">
        <is>
          <t>s</t>
        </is>
      </c>
      <c r="D559" t="inlineStr">
        <is>
          <t>仙姿之威</t>
        </is>
      </c>
      <c r="E559" t="inlineStr">
        <is>
          <t>Divine Majesty</t>
        </is>
      </c>
      <c r="F559" t="inlineStr">
        <is>
          <t>skill_name_middle8195</t>
        </is>
      </c>
    </row>
    <row r="560">
      <c r="A560" t="inlineStr">
        <is>
          <t>Chamas Negras Ardentes</t>
        </is>
      </c>
      <c r="B560" s="2" t="inlineStr">
        <is>
          <t>f</t>
        </is>
      </c>
      <c r="C560" s="2" t="inlineStr">
        <is>
          <t>p</t>
        </is>
      </c>
      <c r="D560" t="inlineStr">
        <is>
          <t>黯炎灼世</t>
        </is>
      </c>
      <c r="E560" t="inlineStr">
        <is>
          <t>Searing Dark Flames</t>
        </is>
      </c>
      <c r="F560" t="inlineStr">
        <is>
          <t>skill_name_middle8241</t>
        </is>
      </c>
    </row>
    <row r="561">
      <c r="A561" t="inlineStr">
        <is>
          <t>Eclipse Negro</t>
        </is>
      </c>
      <c r="B561" s="2" t="inlineStr">
        <is>
          <t>m</t>
        </is>
      </c>
      <c r="C561" s="2" t="inlineStr">
        <is>
          <t>s</t>
        </is>
      </c>
      <c r="D561" t="inlineStr">
        <is>
          <t>噬形灼影</t>
        </is>
      </c>
      <c r="E561" t="inlineStr">
        <is>
          <t>Black Eclipse</t>
        </is>
      </c>
      <c r="F561" t="inlineStr">
        <is>
          <t>skill_name_middle82411</t>
        </is>
      </c>
    </row>
    <row r="562">
      <c r="A562" t="inlineStr">
        <is>
          <t>Espíritos de Fogo Alegres</t>
        </is>
      </c>
      <c r="B562" s="2" t="inlineStr">
        <is>
          <t>m</t>
        </is>
      </c>
      <c r="C562" s="2" t="inlineStr">
        <is>
          <t>p</t>
        </is>
      </c>
      <c r="D562" t="inlineStr">
        <is>
          <t>火灵降生</t>
        </is>
      </c>
      <c r="E562" t="inlineStr">
        <is>
          <t>Joyful Fire Spirits</t>
        </is>
      </c>
      <c r="F562" t="inlineStr">
        <is>
          <t>skill_name_middle8242</t>
        </is>
      </c>
    </row>
    <row r="563">
      <c r="A563" t="inlineStr">
        <is>
          <t>Espinhos Perfurantes</t>
        </is>
      </c>
      <c r="B563" s="2" t="inlineStr">
        <is>
          <t>m</t>
        </is>
      </c>
      <c r="C563" s="2" t="inlineStr">
        <is>
          <t>p</t>
        </is>
      </c>
      <c r="D563" t="inlineStr">
        <is>
          <t>穿心乱羽</t>
        </is>
      </c>
      <c r="E563" t="inlineStr">
        <is>
          <t>Piercing Quills</t>
        </is>
      </c>
      <c r="F563" t="inlineStr">
        <is>
          <t>skill_name_middle8251</t>
        </is>
      </c>
    </row>
    <row r="564">
      <c r="A564" t="inlineStr">
        <is>
          <t>Onda de Flechas</t>
        </is>
      </c>
      <c r="B564" s="2" t="inlineStr">
        <is>
          <t>f</t>
        </is>
      </c>
      <c r="C564" s="2" t="inlineStr">
        <is>
          <t>s</t>
        </is>
      </c>
      <c r="D564" t="inlineStr">
        <is>
          <t>利箭狂涌</t>
        </is>
      </c>
      <c r="E564" t="inlineStr">
        <is>
          <t>Surge of Arrows</t>
        </is>
      </c>
      <c r="F564" t="inlineStr">
        <is>
          <t>skill_name_middle8252</t>
        </is>
      </c>
    </row>
    <row r="565">
      <c r="A565" t="inlineStr">
        <is>
          <t>Balas de Pena</t>
        </is>
      </c>
      <c r="B565" s="2" t="inlineStr">
        <is>
          <t>f</t>
        </is>
      </c>
      <c r="C565" s="2" t="inlineStr">
        <is>
          <t>p</t>
        </is>
      </c>
      <c r="D565" t="inlineStr">
        <is>
          <t>无言箭羽</t>
        </is>
      </c>
      <c r="E565" t="inlineStr">
        <is>
          <t>Feather Bullets</t>
        </is>
      </c>
      <c r="F565" t="inlineStr">
        <is>
          <t>skill_name_middle8253</t>
        </is>
      </c>
    </row>
    <row r="566">
      <c r="A566" t="inlineStr">
        <is>
          <t>Lutador de Frangos</t>
        </is>
      </c>
      <c r="B566" s="2" t="inlineStr">
        <is>
          <t>m</t>
        </is>
      </c>
      <c r="C566" s="2" t="inlineStr">
        <is>
          <t>s</t>
        </is>
      </c>
      <c r="D566" t="inlineStr">
        <is>
          <t>斗鸡之力</t>
        </is>
      </c>
      <c r="E566" t="inlineStr">
        <is>
          <t>Chicken Fighter</t>
        </is>
      </c>
      <c r="F566" t="inlineStr">
        <is>
          <t>skill_name_middle8261</t>
        </is>
      </c>
    </row>
    <row r="567">
      <c r="A567" t="inlineStr">
        <is>
          <t>Punho do Galo</t>
        </is>
      </c>
      <c r="B567" s="2" t="inlineStr">
        <is>
          <t>m</t>
        </is>
      </c>
      <c r="C567" s="2" t="inlineStr">
        <is>
          <t>s</t>
        </is>
      </c>
      <c r="D567" t="inlineStr">
        <is>
          <t>鸡拳乱打</t>
        </is>
      </c>
      <c r="E567" t="inlineStr">
        <is>
          <t>Rooster's Fist</t>
        </is>
      </c>
      <c r="F567" t="inlineStr">
        <is>
          <t>skill_name_middle8262</t>
        </is>
      </c>
    </row>
    <row r="568">
      <c r="A568" t="inlineStr">
        <is>
          <t>Garras do Alto</t>
        </is>
      </c>
      <c r="B568" s="2" t="inlineStr">
        <is>
          <t>f</t>
        </is>
      </c>
      <c r="C568" s="2" t="inlineStr">
        <is>
          <t>p</t>
        </is>
      </c>
      <c r="D568" t="inlineStr">
        <is>
          <t>凤舞一击</t>
        </is>
      </c>
      <c r="E568" t="inlineStr">
        <is>
          <t>Claws from Above</t>
        </is>
      </c>
      <c r="F568" t="inlineStr">
        <is>
          <t>skill_name_middle8263</t>
        </is>
      </c>
    </row>
    <row r="569">
      <c r="A569" t="inlineStr">
        <is>
          <t>Caçador de Galinhas</t>
        </is>
      </c>
      <c r="B569" s="2" t="inlineStr">
        <is>
          <t>m</t>
        </is>
      </c>
      <c r="C569" s="2" t="inlineStr">
        <is>
          <t>s</t>
        </is>
      </c>
      <c r="D569" t="inlineStr">
        <is>
          <t>缚鸡之力</t>
        </is>
      </c>
      <c r="E569" t="inlineStr">
        <is>
          <t>Chicken Catcher</t>
        </is>
      </c>
      <c r="F569" t="inlineStr">
        <is>
          <t>skill_name_middle8269</t>
        </is>
      </c>
    </row>
    <row r="570">
      <c r="A570" t="inlineStr">
        <is>
          <t>Explosão do Pássaro Azul</t>
        </is>
      </c>
      <c r="B570" s="2" t="inlineStr">
        <is>
          <t>f</t>
        </is>
      </c>
      <c r="C570" s="2" t="inlineStr">
        <is>
          <t>s</t>
        </is>
      </c>
      <c r="D570" t="inlineStr">
        <is>
          <t>青鸾冲击</t>
        </is>
      </c>
      <c r="E570" t="inlineStr">
        <is>
          <t>Blue Bird Blast</t>
        </is>
      </c>
      <c r="F570" t="inlineStr">
        <is>
          <t>skill_name_middle8311</t>
        </is>
      </c>
    </row>
    <row r="571">
      <c r="A571" t="inlineStr">
        <is>
          <t>Mísseis Verdejantes</t>
        </is>
      </c>
      <c r="B571" s="2" t="inlineStr">
        <is>
          <t>m</t>
        </is>
      </c>
      <c r="C571" s="2" t="inlineStr">
        <is>
          <t>p</t>
        </is>
      </c>
      <c r="D571" t="inlineStr">
        <is>
          <t>碧波弹</t>
        </is>
      </c>
      <c r="E571" t="inlineStr">
        <is>
          <t>Verdant Missiles</t>
        </is>
      </c>
      <c r="F571" t="inlineStr">
        <is>
          <t>skill_name_middle8312</t>
        </is>
      </c>
    </row>
    <row r="572">
      <c r="A572" t="inlineStr">
        <is>
          <t>Espíritos Verdosos</t>
        </is>
      </c>
      <c r="B572" s="2" t="inlineStr">
        <is>
          <t>m</t>
        </is>
      </c>
      <c r="C572" s="2" t="inlineStr">
        <is>
          <t>p</t>
        </is>
      </c>
      <c r="D572" t="inlineStr">
        <is>
          <t>碧波木灵</t>
        </is>
      </c>
      <c r="E572" t="inlineStr">
        <is>
          <t>Verdant Spirits</t>
        </is>
      </c>
      <c r="F572" t="inlineStr">
        <is>
          <t>skill_name_middle8313</t>
        </is>
      </c>
    </row>
    <row r="573">
      <c r="A573" t="inlineStr">
        <is>
          <t>Espinhos Horríveis</t>
        </is>
      </c>
      <c r="B573" s="2" t="inlineStr">
        <is>
          <t>m</t>
        </is>
      </c>
      <c r="C573" s="2" t="inlineStr">
        <is>
          <t>p</t>
        </is>
      </c>
      <c r="D573" t="inlineStr">
        <is>
          <t>炼狱荆棘</t>
        </is>
      </c>
      <c r="E573" t="inlineStr">
        <is>
          <t>Hideous Thorns</t>
        </is>
      </c>
      <c r="F573" t="inlineStr">
        <is>
          <t>skill_name_middle8321</t>
        </is>
      </c>
    </row>
    <row r="574">
      <c r="A574" t="inlineStr">
        <is>
          <t>Clones Demoníacos</t>
        </is>
      </c>
      <c r="B574" s="2" t="inlineStr">
        <is>
          <t>m</t>
        </is>
      </c>
      <c r="C574" s="2" t="inlineStr">
        <is>
          <t>p</t>
        </is>
      </c>
      <c r="D574" t="inlineStr">
        <is>
          <t>魔身化形</t>
        </is>
      </c>
      <c r="E574" t="inlineStr">
        <is>
          <t>Demonic Clones</t>
        </is>
      </c>
      <c r="F574" t="inlineStr">
        <is>
          <t>skill_name_middle83211</t>
        </is>
      </c>
    </row>
    <row r="575">
      <c r="A575" t="inlineStr">
        <is>
          <t>Explosão de Ar do Submundo</t>
        </is>
      </c>
      <c r="B575" s="2" t="inlineStr">
        <is>
          <t>f</t>
        </is>
      </c>
      <c r="C575" s="2" t="inlineStr">
        <is>
          <t>s</t>
        </is>
      </c>
      <c r="D575" t="inlineStr">
        <is>
          <t>冥气冲击</t>
        </is>
      </c>
      <c r="E575" t="inlineStr">
        <is>
          <t>Nether Air Blast</t>
        </is>
      </c>
      <c r="F575" t="inlineStr">
        <is>
          <t>skill_name_middle8322</t>
        </is>
      </c>
    </row>
    <row r="576">
      <c r="A576" t="inlineStr">
        <is>
          <t>Esmagamento Imparável</t>
        </is>
      </c>
      <c r="B576" s="2" t="inlineStr">
        <is>
          <t>m</t>
        </is>
      </c>
      <c r="C576" s="2" t="inlineStr">
        <is>
          <t>s</t>
        </is>
      </c>
      <c r="D576" t="inlineStr">
        <is>
          <t>万仞</t>
        </is>
      </c>
      <c r="E576" t="inlineStr">
        <is>
          <t>Unstoppable Smash</t>
        </is>
      </c>
      <c r="F576" t="inlineStr">
        <is>
          <t>skill_name_middle8332</t>
        </is>
      </c>
    </row>
    <row r="577">
      <c r="A577" t="inlineStr">
        <is>
          <t>Precipitado</t>
        </is>
      </c>
      <c r="B577" s="2" t="inlineStr">
        <is>
          <t>m</t>
        </is>
      </c>
      <c r="C577" s="2" t="inlineStr">
        <is>
          <t>s</t>
        </is>
      </c>
      <c r="D577" t="inlineStr">
        <is>
          <t>天坠</t>
        </is>
      </c>
      <c r="E577" t="inlineStr">
        <is>
          <t>Precipitate</t>
        </is>
      </c>
      <c r="F577" t="inlineStr">
        <is>
          <t>skill_name_middle8333</t>
        </is>
      </c>
    </row>
    <row r="578">
      <c r="A578" t="inlineStr">
        <is>
          <t>Lótus Vermelha</t>
        </is>
      </c>
      <c r="B578" s="2" t="inlineStr">
        <is>
          <t>m</t>
        </is>
      </c>
      <c r="C578" s="2" t="inlineStr">
        <is>
          <t>s</t>
        </is>
      </c>
      <c r="D578" t="inlineStr">
        <is>
          <t>红莲</t>
        </is>
      </c>
      <c r="E578" t="inlineStr">
        <is>
          <t>Red Lotus</t>
        </is>
      </c>
      <c r="F578" t="inlineStr">
        <is>
          <t>skill_name_middle8339</t>
        </is>
      </c>
    </row>
    <row r="579">
      <c r="A579" t="inlineStr">
        <is>
          <t>Ataques que abalam a Terra</t>
        </is>
      </c>
      <c r="B579" s="2" t="inlineStr">
        <is>
          <t>m</t>
        </is>
      </c>
      <c r="C579" s="2" t="inlineStr">
        <is>
          <t>p</t>
        </is>
      </c>
      <c r="D579" t="inlineStr">
        <is>
          <t>狂放</t>
        </is>
      </c>
      <c r="E579" t="inlineStr">
        <is>
          <t>Earthrending Attacks</t>
        </is>
      </c>
      <c r="F579" t="inlineStr">
        <is>
          <t>skill_name_middle8353</t>
        </is>
      </c>
    </row>
    <row r="580">
      <c r="A580" t="inlineStr">
        <is>
          <t>Sombra Veloz</t>
        </is>
      </c>
      <c r="B580" s="2" t="inlineStr">
        <is>
          <t>f</t>
        </is>
      </c>
      <c r="C580" s="2" t="inlineStr">
        <is>
          <t>s</t>
        </is>
      </c>
      <c r="D580" t="inlineStr">
        <is>
          <t>疾影</t>
        </is>
      </c>
      <c r="E580" t="inlineStr">
        <is>
          <t>Swift Shadow</t>
        </is>
      </c>
      <c r="F580" t="inlineStr">
        <is>
          <t>skill_name_middle8361</t>
        </is>
      </c>
    </row>
    <row r="581">
      <c r="A581" t="inlineStr">
        <is>
          <t>Flutue ao sabor do Vento</t>
        </is>
      </c>
      <c r="B581" s="2" t="inlineStr">
        <is>
          <t>m</t>
        </is>
      </c>
      <c r="C581" s="2" t="inlineStr">
        <is>
          <t>s</t>
        </is>
      </c>
      <c r="D581" t="inlineStr">
        <is>
          <t>空切</t>
        </is>
      </c>
      <c r="E581" t="inlineStr">
        <is>
          <t>Float with Wind</t>
        </is>
      </c>
      <c r="F581" t="inlineStr">
        <is>
          <t>skill_name_middle8362</t>
        </is>
      </c>
    </row>
    <row r="582">
      <c r="A582" t="inlineStr">
        <is>
          <t>Ritmo frenético</t>
        </is>
      </c>
      <c r="B582" s="2" t="inlineStr">
        <is>
          <t>m</t>
        </is>
      </c>
      <c r="C582" s="2" t="inlineStr">
        <is>
          <t>s</t>
        </is>
      </c>
      <c r="D582" t="inlineStr">
        <is>
          <t>乱舞</t>
        </is>
      </c>
      <c r="E582" t="inlineStr">
        <is>
          <t>Frenzied Tempo</t>
        </is>
      </c>
      <c r="F582" t="inlineStr">
        <is>
          <t>skill_name_middle8363</t>
        </is>
      </c>
    </row>
    <row r="583">
      <c r="A583" t="inlineStr">
        <is>
          <t>Ressonância Rápida</t>
        </is>
      </c>
      <c r="B583" s="2" t="inlineStr">
        <is>
          <t>f</t>
        </is>
      </c>
      <c r="C583" s="2" t="inlineStr">
        <is>
          <t>s</t>
        </is>
      </c>
      <c r="D583" t="inlineStr">
        <is>
          <t>迅音</t>
        </is>
      </c>
      <c r="E583" t="inlineStr">
        <is>
          <t>Rapid Resonation</t>
        </is>
      </c>
      <c r="F583" t="inlineStr">
        <is>
          <t>skill_name_middle8373</t>
        </is>
      </c>
    </row>
    <row r="584">
      <c r="A584" t="inlineStr">
        <is>
          <t>Desenho do Relâmpago</t>
        </is>
      </c>
      <c r="B584" s="2" t="inlineStr">
        <is>
          <t>m</t>
        </is>
      </c>
      <c r="C584" s="2" t="inlineStr">
        <is>
          <t>s</t>
        </is>
      </c>
      <c r="D584" t="inlineStr">
        <is>
          <t>雷力牵引</t>
        </is>
      </c>
      <c r="E584" t="inlineStr">
        <is>
          <t>Drawing of Lightning</t>
        </is>
      </c>
      <c r="F584" t="inlineStr">
        <is>
          <t>skill_name_middle8391</t>
        </is>
      </c>
    </row>
    <row r="585">
      <c r="A585" t="inlineStr">
        <is>
          <t>Golpe de Relâmpago</t>
        </is>
      </c>
      <c r="B585" s="2" t="inlineStr">
        <is>
          <t>m</t>
        </is>
      </c>
      <c r="C585" s="2" t="inlineStr">
        <is>
          <t>s</t>
        </is>
      </c>
      <c r="D585" t="inlineStr">
        <is>
          <t>雷力降落</t>
        </is>
      </c>
      <c r="E585" t="inlineStr">
        <is>
          <t>Strike of Lightning</t>
        </is>
      </c>
      <c r="F585" t="inlineStr">
        <is>
          <t>skill_name_middle8392</t>
        </is>
      </c>
    </row>
    <row r="586">
      <c r="A586" t="inlineStr">
        <is>
          <t>Dragão Errante</t>
        </is>
      </c>
      <c r="B586" s="2" t="inlineStr">
        <is>
          <t>m</t>
        </is>
      </c>
      <c r="C586" s="2" t="inlineStr">
        <is>
          <t>s</t>
        </is>
      </c>
      <c r="D586" t="inlineStr">
        <is>
          <t>龙游四方</t>
        </is>
      </c>
      <c r="E586" t="inlineStr">
        <is>
          <t>Wandering Dragon</t>
        </is>
      </c>
      <c r="F586" t="inlineStr">
        <is>
          <t>skill_name_middle8393</t>
        </is>
      </c>
    </row>
    <row r="587">
      <c r="A587" t="inlineStr">
        <is>
          <t>Poço Venenoso</t>
        </is>
      </c>
      <c r="B587" s="2" t="inlineStr">
        <is>
          <t>m</t>
        </is>
      </c>
      <c r="C587" s="2" t="inlineStr">
        <is>
          <t>s</t>
        </is>
      </c>
      <c r="D587" t="inlineStr">
        <is>
          <t>毒潭</t>
        </is>
      </c>
      <c r="E587" t="inlineStr">
        <is>
          <t>Poisonous Pool</t>
        </is>
      </c>
      <c r="F587" t="inlineStr">
        <is>
          <t>skill_name_middle8402</t>
        </is>
      </c>
    </row>
    <row r="588">
      <c r="A588" t="inlineStr">
        <is>
          <t>Comandante Supremo</t>
        </is>
      </c>
      <c r="B588" s="2" t="inlineStr">
        <is>
          <t>m</t>
        </is>
      </c>
      <c r="C588" s="2" t="inlineStr">
        <is>
          <t>s</t>
        </is>
      </c>
      <c r="D588" t="inlineStr">
        <is>
          <t>领袖</t>
        </is>
      </c>
      <c r="E588" t="inlineStr">
        <is>
          <t>Ultimate Commander</t>
        </is>
      </c>
      <c r="F588" t="inlineStr">
        <is>
          <t>skill_name_middle8409</t>
        </is>
      </c>
    </row>
    <row r="589">
      <c r="A589" t="inlineStr">
        <is>
          <t>Sopro Congelado</t>
        </is>
      </c>
      <c r="B589" s="2" t="inlineStr">
        <is>
          <t>m</t>
        </is>
      </c>
      <c r="C589" s="2" t="inlineStr">
        <is>
          <t>s</t>
        </is>
      </c>
      <c r="D589" t="inlineStr">
        <is>
          <t>冰原之息</t>
        </is>
      </c>
      <c r="E589" t="inlineStr">
        <is>
          <t>Frozen Breath</t>
        </is>
      </c>
      <c r="F589" t="inlineStr">
        <is>
          <t>skill_name_middle8411</t>
        </is>
      </c>
    </row>
    <row r="590">
      <c r="A590" t="inlineStr">
        <is>
          <t>Empanturramento</t>
        </is>
      </c>
      <c r="B590" s="2" t="inlineStr">
        <is>
          <t>m</t>
        </is>
      </c>
      <c r="C590" s="2" t="inlineStr">
        <is>
          <t>s</t>
        </is>
      </c>
      <c r="D590" t="inlineStr">
        <is>
          <t>啃咬</t>
        </is>
      </c>
      <c r="E590" t="inlineStr">
        <is>
          <t>Gorging</t>
        </is>
      </c>
      <c r="F590" t="inlineStr">
        <is>
          <t>skill_name_middle8441</t>
        </is>
      </c>
    </row>
    <row r="591">
      <c r="A591" t="inlineStr">
        <is>
          <t>Redemoinho Sombrio</t>
        </is>
      </c>
      <c r="B591" s="2" t="inlineStr">
        <is>
          <t>m</t>
        </is>
      </c>
      <c r="C591" s="2" t="inlineStr">
        <is>
          <t>s</t>
        </is>
      </c>
      <c r="D591" t="inlineStr">
        <is>
          <t>暗旋</t>
        </is>
      </c>
      <c r="E591" t="inlineStr">
        <is>
          <t>Dark Whirl</t>
        </is>
      </c>
      <c r="F591" t="inlineStr">
        <is>
          <t>skill_name_middle8442</t>
        </is>
      </c>
    </row>
    <row r="592">
      <c r="A592" t="inlineStr">
        <is>
          <t>Força Devoradora</t>
        </is>
      </c>
      <c r="B592" s="2" t="inlineStr">
        <is>
          <t>f</t>
        </is>
      </c>
      <c r="C592" s="2" t="inlineStr">
        <is>
          <t>s</t>
        </is>
      </c>
      <c r="D592" t="inlineStr">
        <is>
          <t>吞噬天地</t>
        </is>
      </c>
      <c r="E592" t="inlineStr">
        <is>
          <t>Devouring Force</t>
        </is>
      </c>
      <c r="F592" t="inlineStr">
        <is>
          <t>skill_name_middle8443</t>
        </is>
      </c>
    </row>
    <row r="593">
      <c r="A593" t="inlineStr">
        <is>
          <t>Golpe Decisivo</t>
        </is>
      </c>
      <c r="B593" s="2" t="inlineStr">
        <is>
          <t>m</t>
        </is>
      </c>
      <c r="C593" s="2" t="inlineStr">
        <is>
          <t>s</t>
        </is>
      </c>
      <c r="D593" t="inlineStr">
        <is>
          <t>诛杀之道</t>
        </is>
      </c>
      <c r="E593" t="inlineStr">
        <is>
          <t>Decisive Strike</t>
        </is>
      </c>
      <c r="F593" t="inlineStr">
        <is>
          <t>skill_name_middle8460</t>
        </is>
      </c>
    </row>
    <row r="594">
      <c r="A594" t="inlineStr">
        <is>
          <t>Trovão Explosivo</t>
        </is>
      </c>
      <c r="B594" s="2" t="inlineStr">
        <is>
          <t>m</t>
        </is>
      </c>
      <c r="C594" s="2" t="inlineStr">
        <is>
          <t>s</t>
        </is>
      </c>
      <c r="D594" t="inlineStr">
        <is>
          <t>刹那惊雷</t>
        </is>
      </c>
      <c r="E594" t="inlineStr">
        <is>
          <t>Blasting Thunder</t>
        </is>
      </c>
      <c r="F594" t="inlineStr">
        <is>
          <t>skill_name_middle8461</t>
        </is>
      </c>
    </row>
    <row r="595">
      <c r="A595" t="inlineStr">
        <is>
          <t>Lago do Dragão</t>
        </is>
      </c>
      <c r="B595" s="2" t="inlineStr">
        <is>
          <t>m</t>
        </is>
      </c>
      <c r="C595" s="2" t="inlineStr">
        <is>
          <t>s</t>
        </is>
      </c>
      <c r="D595" t="inlineStr">
        <is>
          <t>龙渊</t>
        </is>
      </c>
      <c r="E595" t="inlineStr">
        <is>
          <t>Dragon Pond</t>
        </is>
      </c>
      <c r="F595" t="inlineStr">
        <is>
          <t>skill_name_middle8462</t>
        </is>
      </c>
    </row>
    <row r="596">
      <c r="A596" t="inlineStr">
        <is>
          <t>Espadas Reunidas</t>
        </is>
      </c>
      <c r="B596" s="2" t="inlineStr">
        <is>
          <t>f</t>
        </is>
      </c>
      <c r="C596" s="2" t="inlineStr">
        <is>
          <t>p</t>
        </is>
      </c>
      <c r="D596" t="inlineStr">
        <is>
          <t>归一</t>
        </is>
      </c>
      <c r="E596" t="inlineStr">
        <is>
          <t>Swords Reunited</t>
        </is>
      </c>
      <c r="F596" t="inlineStr">
        <is>
          <t>skill_name_middle84622</t>
        </is>
      </c>
    </row>
    <row r="597">
      <c r="A597" t="inlineStr">
        <is>
          <t>Escudo e Machado</t>
        </is>
      </c>
      <c r="B597" s="2" t="inlineStr">
        <is>
          <t>m</t>
        </is>
      </c>
      <c r="C597" s="2" t="inlineStr">
        <is>
          <t>s</t>
        </is>
      </c>
      <c r="D597" t="inlineStr">
        <is>
          <t>干戚相生</t>
        </is>
      </c>
      <c r="E597" t="inlineStr">
        <is>
          <t>Shield and Axe</t>
        </is>
      </c>
      <c r="F597" t="inlineStr">
        <is>
          <t>skill_name_middle8521</t>
        </is>
      </c>
    </row>
    <row r="598">
      <c r="A598" t="inlineStr">
        <is>
          <t>Constituição da Divindade da Guerra</t>
        </is>
      </c>
      <c r="B598" s="2" t="inlineStr">
        <is>
          <t>f</t>
        </is>
      </c>
      <c r="C598" s="2" t="inlineStr">
        <is>
          <t>s</t>
        </is>
      </c>
      <c r="D598" t="inlineStr">
        <is>
          <t>战神之躯</t>
        </is>
      </c>
      <c r="E598" t="inlineStr">
        <is>
          <t>War Deity's Physique</t>
        </is>
      </c>
      <c r="F598" t="inlineStr">
        <is>
          <t>skill_name_middle8551</t>
        </is>
      </c>
    </row>
    <row r="599">
      <c r="A599" t="inlineStr">
        <is>
          <t>Espadas Triplas</t>
        </is>
      </c>
      <c r="B599" s="2" t="inlineStr">
        <is>
          <t>f</t>
        </is>
      </c>
      <c r="C599" s="2" t="inlineStr">
        <is>
          <t>p</t>
        </is>
      </c>
      <c r="D599" t="inlineStr">
        <is>
          <t>三清剑式</t>
        </is>
      </c>
      <c r="E599" t="inlineStr">
        <is>
          <t>Threefold Swords</t>
        </is>
      </c>
      <c r="F599" t="inlineStr">
        <is>
          <t>skill_name_middle8571</t>
        </is>
      </c>
    </row>
    <row r="600">
      <c r="A600" t="inlineStr">
        <is>
          <t>Feitiço da Espada do Pôr do Sol</t>
        </is>
      </c>
      <c r="B600" s="2" t="inlineStr">
        <is>
          <t>m</t>
        </is>
      </c>
      <c r="C600" s="2" t="inlineStr">
        <is>
          <t>s</t>
        </is>
      </c>
      <c r="D600" t="inlineStr">
        <is>
          <t>落日剑决</t>
        </is>
      </c>
      <c r="E600" t="inlineStr">
        <is>
          <t>Sunset Sword Spell</t>
        </is>
      </c>
      <c r="F600" t="inlineStr">
        <is>
          <t>skill_name_middle8572</t>
        </is>
      </c>
    </row>
    <row r="601">
      <c r="A601" t="inlineStr">
        <is>
          <t>Lâmina da Rajada Veloz</t>
        </is>
      </c>
      <c r="B601" s="2" t="inlineStr">
        <is>
          <t>f</t>
        </is>
      </c>
      <c r="C601" s="2" t="inlineStr">
        <is>
          <t>s</t>
        </is>
      </c>
      <c r="D601" t="inlineStr">
        <is>
          <t>李落苍鸣</t>
        </is>
      </c>
      <c r="E601" t="inlineStr">
        <is>
          <t>Swift Gale Blade</t>
        </is>
      </c>
      <c r="F601" t="inlineStr">
        <is>
          <t>skill_name_middle8573</t>
        </is>
      </c>
    </row>
    <row r="602">
      <c r="A602" t="inlineStr">
        <is>
          <t>Impulso da Espada</t>
        </is>
      </c>
      <c r="B602" s="2" t="inlineStr">
        <is>
          <t>m</t>
        </is>
      </c>
      <c r="C602" s="2" t="inlineStr">
        <is>
          <t>s</t>
        </is>
      </c>
      <c r="D602" t="inlineStr">
        <is>
          <t>剑气纵横</t>
        </is>
      </c>
      <c r="E602" t="inlineStr">
        <is>
          <t>Sword Boost</t>
        </is>
      </c>
      <c r="F602" t="inlineStr">
        <is>
          <t>skill_name_middle8574</t>
        </is>
      </c>
    </row>
    <row r="603">
      <c r="A603" t="inlineStr">
        <is>
          <t>Rajada de Espadas - Embriagado</t>
        </is>
      </c>
      <c r="B603" s="2" t="inlineStr">
        <is>
          <t>f</t>
        </is>
      </c>
      <c r="C603" s="2" t="inlineStr">
        <is>
          <t>s</t>
        </is>
      </c>
      <c r="D603" t="inlineStr">
        <is>
          <t>万剑式·醉</t>
        </is>
      </c>
      <c r="E603" t="inlineStr">
        <is>
          <t>Sword Flurry - Drunken</t>
        </is>
      </c>
      <c r="F603" t="inlineStr">
        <is>
          <t>skill_name_middle8575</t>
        </is>
      </c>
    </row>
    <row r="604">
      <c r="A604" t="inlineStr">
        <is>
          <t>Fogo Verdadeiro do Dragão</t>
        </is>
      </c>
      <c r="B604" s="2" t="inlineStr">
        <is>
          <t>m</t>
        </is>
      </c>
      <c r="C604" s="2" t="inlineStr">
        <is>
          <t>s</t>
        </is>
      </c>
      <c r="D604" t="inlineStr">
        <is>
          <t>应龙真火</t>
        </is>
      </c>
      <c r="E604" t="inlineStr">
        <is>
          <t>Dragon's True Fire</t>
        </is>
      </c>
      <c r="F604" t="inlineStr">
        <is>
          <t>skill_name_middle8581</t>
        </is>
      </c>
    </row>
    <row r="605">
      <c r="A605" t="inlineStr">
        <is>
          <t>Chicote de Rajada de Vento</t>
        </is>
      </c>
      <c r="B605" s="2" t="inlineStr">
        <is>
          <t>m</t>
        </is>
      </c>
      <c r="C605" s="2" t="inlineStr">
        <is>
          <t>s</t>
        </is>
      </c>
      <c r="D605" t="inlineStr">
        <is>
          <t>散绝啸击</t>
        </is>
      </c>
      <c r="E605" t="inlineStr">
        <is>
          <t>Windblast Whip</t>
        </is>
      </c>
      <c r="F605" t="inlineStr">
        <is>
          <t>skill_name_middle8582</t>
        </is>
      </c>
    </row>
    <row r="606">
      <c r="A606" t="inlineStr">
        <is>
          <t>Garra do Trovão</t>
        </is>
      </c>
      <c r="B606" s="2" t="inlineStr">
        <is>
          <t>f</t>
        </is>
      </c>
      <c r="C606" s="2" t="inlineStr">
        <is>
          <t>s</t>
        </is>
      </c>
      <c r="D606" t="inlineStr">
        <is>
          <t>雷鸣爪击</t>
        </is>
      </c>
      <c r="E606" t="inlineStr">
        <is>
          <t>Thunder Clawing</t>
        </is>
      </c>
      <c r="F606" t="inlineStr">
        <is>
          <t>skill_name_middle8583</t>
        </is>
      </c>
    </row>
    <row r="607">
      <c r="A607" t="inlineStr">
        <is>
          <t>Fogo sobrenatural</t>
        </is>
      </c>
      <c r="B607" s="2" t="inlineStr">
        <is>
          <t>m</t>
        </is>
      </c>
      <c r="C607" s="2" t="inlineStr">
        <is>
          <t>s</t>
        </is>
      </c>
      <c r="D607" t="inlineStr">
        <is>
          <t>南烛之力</t>
        </is>
      </c>
      <c r="E607" t="inlineStr">
        <is>
          <t>Otherworldly Fire</t>
        </is>
      </c>
      <c r="F607" t="inlineStr">
        <is>
          <t>skill_name_middle8584</t>
        </is>
      </c>
    </row>
    <row r="608">
      <c r="A608" t="inlineStr">
        <is>
          <t>Três Núcleos da Terra</t>
        </is>
      </c>
      <c r="B608" s="2" t="inlineStr">
        <is>
          <t>m</t>
        </is>
      </c>
      <c r="C608" s="2" t="inlineStr">
        <is>
          <t>p</t>
        </is>
      </c>
      <c r="D608" t="inlineStr">
        <is>
          <t>三色地心</t>
        </is>
      </c>
      <c r="E608" t="inlineStr">
        <is>
          <t>Earth's Triple Cores</t>
        </is>
      </c>
      <c r="F608" t="inlineStr">
        <is>
          <t>skill_name_middle8591</t>
        </is>
      </c>
    </row>
    <row r="609">
      <c r="A609" t="inlineStr">
        <is>
          <t>Areia Devoradora</t>
        </is>
      </c>
      <c r="B609" s="2" t="inlineStr">
        <is>
          <t>f</t>
        </is>
      </c>
      <c r="C609" s="2" t="inlineStr">
        <is>
          <t>s</t>
        </is>
      </c>
      <c r="D609" t="inlineStr">
        <is>
          <t>镇域流沙</t>
        </is>
      </c>
      <c r="E609" t="inlineStr">
        <is>
          <t>Devouring Sand</t>
        </is>
      </c>
      <c r="F609" t="inlineStr">
        <is>
          <t>skill_name_middle8593</t>
        </is>
      </c>
    </row>
    <row r="610">
      <c r="A610" t="inlineStr">
        <is>
          <t>Lótus Caleidoscópicas</t>
        </is>
      </c>
      <c r="B610" s="2" t="inlineStr">
        <is>
          <t>m</t>
        </is>
      </c>
      <c r="C610" s="2" t="inlineStr">
        <is>
          <t>s</t>
        </is>
      </c>
      <c r="D610" t="inlineStr">
        <is>
          <t>莲化寰宇</t>
        </is>
      </c>
      <c r="E610" t="inlineStr">
        <is>
          <t>Kaleidoscopic Lotuses</t>
        </is>
      </c>
      <c r="F610" t="inlineStr">
        <is>
          <t>skill_name_middle8594</t>
        </is>
      </c>
    </row>
    <row r="611">
      <c r="A611" t="inlineStr">
        <is>
          <t>Cortes Rápidos - Espada</t>
        </is>
      </c>
      <c r="B611" s="2" t="inlineStr">
        <is>
          <t>m</t>
        </is>
      </c>
      <c r="C611" s="2" t="inlineStr">
        <is>
          <t>p</t>
        </is>
      </c>
      <c r="D611" t="inlineStr">
        <is>
          <t>乱拂·剑</t>
        </is>
      </c>
      <c r="E611" t="inlineStr">
        <is>
          <t>Flurry Cuts - Sword</t>
        </is>
      </c>
      <c r="F611" t="inlineStr">
        <is>
          <t>skill_name_middle8601</t>
        </is>
      </c>
    </row>
    <row r="612">
      <c r="A612" t="inlineStr">
        <is>
          <t>Aniquilação - Sangue</t>
        </is>
      </c>
      <c r="B612" s="2" t="inlineStr">
        <is>
          <t>f</t>
        </is>
      </c>
      <c r="C612" s="2" t="inlineStr">
        <is>
          <t>s</t>
        </is>
      </c>
      <c r="D612" t="inlineStr">
        <is>
          <t>泯灭·血</t>
        </is>
      </c>
      <c r="E612" t="inlineStr">
        <is>
          <t>Annihilation - Blood</t>
        </is>
      </c>
      <c r="F612" t="inlineStr">
        <is>
          <t>skill_name_middle8602</t>
        </is>
      </c>
    </row>
    <row r="613">
      <c r="A613" t="inlineStr">
        <is>
          <t>Lótus Crepuscular - Fogo</t>
        </is>
      </c>
      <c r="B613" s="2" t="inlineStr">
        <is>
          <t>m</t>
        </is>
      </c>
      <c r="C613" s="2" t="inlineStr">
        <is>
          <t>s</t>
        </is>
      </c>
      <c r="D613" t="inlineStr">
        <is>
          <t>暮莲·火</t>
        </is>
      </c>
      <c r="E613" t="inlineStr">
        <is>
          <t>Twilight Lotus - Fire</t>
        </is>
      </c>
      <c r="F613" t="inlineStr">
        <is>
          <t>skill_name_middle8603</t>
        </is>
      </c>
    </row>
    <row r="614">
      <c r="A614" t="inlineStr">
        <is>
          <t>Pôr do Sol - Imortal</t>
        </is>
      </c>
      <c r="B614" s="2" t="inlineStr">
        <is>
          <t>m</t>
        </is>
      </c>
      <c r="C614" s="2" t="inlineStr">
        <is>
          <t>s</t>
        </is>
      </c>
      <c r="D614" t="inlineStr">
        <is>
          <t>坠阳·仙</t>
        </is>
      </c>
      <c r="E614" t="inlineStr">
        <is>
          <t>Sunset - Immortal</t>
        </is>
      </c>
      <c r="F614" t="inlineStr">
        <is>
          <t>skill_name_middle8604</t>
        </is>
      </c>
    </row>
    <row r="615">
      <c r="A615" t="inlineStr">
        <is>
          <t>Escudo Obscuro - Submundo</t>
        </is>
      </c>
      <c r="B615" s="2" t="inlineStr">
        <is>
          <t>m</t>
        </is>
      </c>
      <c r="C615" s="2" t="inlineStr">
        <is>
          <t>s</t>
        </is>
      </c>
      <c r="D615" t="inlineStr">
        <is>
          <t>固幽·冥</t>
        </is>
      </c>
      <c r="E615" t="inlineStr">
        <is>
          <t>Obscure Shield - Nether</t>
        </is>
      </c>
      <c r="F615" t="inlineStr">
        <is>
          <t>skill_name_middle8605</t>
        </is>
      </c>
    </row>
    <row r="616">
      <c r="A616" t="inlineStr">
        <is>
          <t>Erupção Incandescente</t>
        </is>
      </c>
      <c r="B616" s="2" t="inlineStr">
        <is>
          <t>f</t>
        </is>
      </c>
      <c r="C616" s="2" t="inlineStr">
        <is>
          <t>s</t>
        </is>
      </c>
      <c r="D616" t="inlineStr">
        <is>
          <t>分元地火</t>
        </is>
      </c>
      <c r="E616" t="inlineStr">
        <is>
          <t>Scorching Eruption</t>
        </is>
      </c>
      <c r="F616" t="inlineStr">
        <is>
          <t>skill_name_middle8611</t>
        </is>
      </c>
    </row>
    <row r="617">
      <c r="A617" t="inlineStr">
        <is>
          <t>Três Posturas</t>
        </is>
      </c>
      <c r="B617" s="2" t="inlineStr">
        <is>
          <t>m</t>
        </is>
      </c>
      <c r="C617" s="2" t="inlineStr">
        <is>
          <t>p</t>
        </is>
      </c>
      <c r="D617" t="inlineStr">
        <is>
          <t>形意三才</t>
        </is>
      </c>
      <c r="E617" t="inlineStr">
        <is>
          <t>Three Stances</t>
        </is>
      </c>
      <c r="F617" t="inlineStr">
        <is>
          <t>skill_name_middle8613</t>
        </is>
      </c>
    </row>
    <row r="618">
      <c r="A618" t="inlineStr">
        <is>
          <t>Choque Aéreo</t>
        </is>
      </c>
      <c r="B618" s="2" t="inlineStr">
        <is>
          <t>m</t>
        </is>
      </c>
      <c r="C618" s="2" t="inlineStr">
        <is>
          <t>s</t>
        </is>
      </c>
      <c r="D618" t="inlineStr">
        <is>
          <t>风灵震空</t>
        </is>
      </c>
      <c r="E618" t="inlineStr">
        <is>
          <t>Aerial Shock</t>
        </is>
      </c>
      <c r="F618" t="inlineStr">
        <is>
          <t>skill_name_middle8615</t>
        </is>
      </c>
    </row>
    <row r="619">
      <c r="A619" t="inlineStr">
        <is>
          <t>Submundo - Exército do Maligno</t>
        </is>
      </c>
      <c r="B619" s="2" t="inlineStr">
        <is>
          <t>m</t>
        </is>
      </c>
      <c r="C619" s="2" t="inlineStr">
        <is>
          <t>s</t>
        </is>
      </c>
      <c r="D619" t="inlineStr">
        <is>
          <t>冥·万魔戮仙</t>
        </is>
      </c>
      <c r="E619" t="inlineStr">
        <is>
          <t>Nether - Army of Evil</t>
        </is>
      </c>
      <c r="F619" t="inlineStr">
        <is>
          <t>skill_name_middle8616</t>
        </is>
      </c>
    </row>
    <row r="620">
      <c r="A620" t="inlineStr">
        <is>
          <t>Pupilas Duplas do Céu</t>
        </is>
      </c>
      <c r="B620" s="2" t="inlineStr">
        <is>
          <t>f</t>
        </is>
      </c>
      <c r="C620" s="2" t="inlineStr">
        <is>
          <t>p</t>
        </is>
      </c>
      <c r="D620" t="inlineStr">
        <is>
          <t>青空重瞳</t>
        </is>
      </c>
      <c r="E620" t="inlineStr">
        <is>
          <t>Sky Double Pupils</t>
        </is>
      </c>
      <c r="F620" t="inlineStr">
        <is>
          <t>skill_name_middle8621</t>
        </is>
      </c>
    </row>
    <row r="621">
      <c r="A621" t="inlineStr">
        <is>
          <t>Feixes Místicos</t>
        </is>
      </c>
      <c r="B621" s="2" t="inlineStr">
        <is>
          <t>m</t>
        </is>
      </c>
      <c r="C621" s="2" t="inlineStr">
        <is>
          <t>p</t>
        </is>
      </c>
      <c r="D621" t="inlineStr">
        <is>
          <t>青瞳神光</t>
        </is>
      </c>
      <c r="E621" t="inlineStr">
        <is>
          <t>Mystic Beams</t>
        </is>
      </c>
      <c r="F621" t="inlineStr">
        <is>
          <t>skill_name_middle8622</t>
        </is>
      </c>
    </row>
    <row r="622">
      <c r="A622" t="inlineStr">
        <is>
          <t>Terra Irritada</t>
        </is>
      </c>
      <c r="B622" s="2" t="inlineStr">
        <is>
          <t>f</t>
        </is>
      </c>
      <c r="C622" s="2" t="inlineStr">
        <is>
          <t>s</t>
        </is>
      </c>
      <c r="D622" t="inlineStr">
        <is>
          <t>坤元地光</t>
        </is>
      </c>
      <c r="E622" t="inlineStr">
        <is>
          <t>Irritated Earth</t>
        </is>
      </c>
      <c r="F622" t="inlineStr">
        <is>
          <t>skill_name_middle8623</t>
        </is>
      </c>
    </row>
    <row r="623">
      <c r="A623" t="inlineStr">
        <is>
          <t>Modelador de Paisagens</t>
        </is>
      </c>
      <c r="B623" s="2" t="inlineStr">
        <is>
          <t>m</t>
        </is>
      </c>
      <c r="C623" s="2" t="inlineStr">
        <is>
          <t>s</t>
        </is>
      </c>
      <c r="D623" t="inlineStr">
        <is>
          <t>覆海移山</t>
        </is>
      </c>
      <c r="E623" t="inlineStr">
        <is>
          <t>Landscape Shaper</t>
        </is>
      </c>
      <c r="F623" t="inlineStr">
        <is>
          <t>skill_name_middle8624</t>
        </is>
      </c>
    </row>
    <row r="624">
      <c r="A624" t="inlineStr">
        <is>
          <t>Penas Verdejantes</t>
        </is>
      </c>
      <c r="B624" s="2" t="inlineStr">
        <is>
          <t>f</t>
        </is>
      </c>
      <c r="C624" s="2" t="inlineStr">
        <is>
          <t>p</t>
        </is>
      </c>
      <c r="D624" t="inlineStr">
        <is>
          <t>幽盈碧羽</t>
        </is>
      </c>
      <c r="E624" t="inlineStr">
        <is>
          <t>Verdant Quills</t>
        </is>
      </c>
      <c r="F624" t="inlineStr">
        <is>
          <t>skill_name_middle8627</t>
        </is>
      </c>
    </row>
    <row r="625">
      <c r="A625" t="inlineStr">
        <is>
          <t>Adivinhação - Céu e Terra</t>
        </is>
      </c>
      <c r="B625" s="2" t="inlineStr">
        <is>
          <t>f</t>
        </is>
      </c>
      <c r="C625" s="2" t="inlineStr">
        <is>
          <t>s</t>
        </is>
      </c>
      <c r="D625" t="inlineStr">
        <is>
          <t>卦象·乾坤</t>
        </is>
      </c>
      <c r="E625" t="inlineStr">
        <is>
          <t>Divination - Sky and Earth</t>
        </is>
      </c>
      <c r="F625" t="inlineStr">
        <is>
          <t>skill_name_middle863611</t>
        </is>
      </c>
    </row>
    <row r="626">
      <c r="A626" t="inlineStr">
        <is>
          <t>Movimento da Lâmina Dourada</t>
        </is>
      </c>
      <c r="B626" s="2" t="inlineStr">
        <is>
          <t>m</t>
        </is>
      </c>
      <c r="C626" s="2" t="inlineStr">
        <is>
          <t>s</t>
        </is>
      </c>
      <c r="D626" t="inlineStr">
        <is>
          <t>金铎式</t>
        </is>
      </c>
      <c r="E626" t="inlineStr">
        <is>
          <t>Move of Golden Blade</t>
        </is>
      </c>
      <c r="F626" t="inlineStr">
        <is>
          <t>skill_name_middle8641</t>
        </is>
      </c>
    </row>
    <row r="627">
      <c r="A627" t="inlineStr">
        <is>
          <t>Movimento do Arco-Íris Quebrado</t>
        </is>
      </c>
      <c r="B627" s="2" t="inlineStr">
        <is>
          <t>m</t>
        </is>
      </c>
      <c r="C627" s="2" t="inlineStr">
        <is>
          <t>s</t>
        </is>
      </c>
      <c r="D627" t="inlineStr">
        <is>
          <t>残虹式</t>
        </is>
      </c>
      <c r="E627" t="inlineStr">
        <is>
          <t>Move of Broken Rainbow</t>
        </is>
      </c>
      <c r="F627" t="inlineStr">
        <is>
          <t>skill_name_middle8642</t>
        </is>
      </c>
    </row>
    <row r="628">
      <c r="A628" t="inlineStr">
        <is>
          <t>Domínio das Estrelas</t>
        </is>
      </c>
      <c r="B628" s="2" t="inlineStr">
        <is>
          <t>m</t>
        </is>
      </c>
      <c r="C628" s="2" t="inlineStr">
        <is>
          <t>s</t>
        </is>
      </c>
      <c r="D628" t="inlineStr">
        <is>
          <t>星元领域</t>
        </is>
      </c>
      <c r="E628" t="inlineStr">
        <is>
          <t>Field of Stars</t>
        </is>
      </c>
      <c r="F628" t="inlineStr">
        <is>
          <t>skill_name_middle8644</t>
        </is>
      </c>
    </row>
    <row r="629">
      <c r="A629" t="inlineStr">
        <is>
          <t>Exato - Impulso da Espada</t>
        </is>
      </c>
      <c r="B629" s="2" t="inlineStr">
        <is>
          <t>m</t>
        </is>
      </c>
      <c r="C629" s="2" t="inlineStr">
        <is>
          <t>s</t>
        </is>
      </c>
      <c r="D629" t="inlineStr">
        <is>
          <t>真·剑气纵横</t>
        </is>
      </c>
      <c r="E629" t="inlineStr">
        <is>
          <t>Exact - Sword Boost</t>
        </is>
      </c>
      <c r="F629" t="inlineStr">
        <is>
          <t>skill_name_middle8645</t>
        </is>
      </c>
    </row>
    <row r="630">
      <c r="A630" t="inlineStr">
        <is>
          <t>Triplicação de Qi</t>
        </is>
      </c>
      <c r="B630" s="2" t="inlineStr">
        <is>
          <t>f</t>
        </is>
      </c>
      <c r="C630" s="2" t="inlineStr">
        <is>
          <t>s</t>
        </is>
      </c>
      <c r="D630" t="inlineStr">
        <is>
          <t>一气化三清</t>
        </is>
      </c>
      <c r="E630" t="inlineStr">
        <is>
          <t>Qi Triplication</t>
        </is>
      </c>
      <c r="F630" t="inlineStr">
        <is>
          <t>skill_name_middle8646</t>
        </is>
      </c>
    </row>
    <row r="631">
      <c r="A631" t="inlineStr">
        <is>
          <t>Arte Imortal - Penas Brilhantes</t>
        </is>
      </c>
      <c r="B631" s="2" t="inlineStr">
        <is>
          <t>f</t>
        </is>
      </c>
      <c r="C631" s="2" t="inlineStr">
        <is>
          <t>s</t>
        </is>
      </c>
      <c r="D631" t="inlineStr">
        <is>
          <t>仙法·天羽鎏光</t>
        </is>
      </c>
      <c r="E631" t="inlineStr">
        <is>
          <t>Heavenly Art - Glinting Feathers</t>
        </is>
      </c>
      <c r="F631" t="inlineStr">
        <is>
          <t>skill_name_middle8647</t>
        </is>
      </c>
    </row>
    <row r="632">
      <c r="A632" t="inlineStr">
        <is>
          <t>Movimento do Relâmpago</t>
        </is>
      </c>
      <c r="B632" s="2" t="inlineStr">
        <is>
          <t>m</t>
        </is>
      </c>
      <c r="C632" s="2" t="inlineStr">
        <is>
          <t>s</t>
        </is>
      </c>
      <c r="D632" t="inlineStr">
        <is>
          <t>奔雷式</t>
        </is>
      </c>
      <c r="E632" t="inlineStr">
        <is>
          <t>Move of Lightning</t>
        </is>
      </c>
      <c r="F632" t="inlineStr">
        <is>
          <t>skill_name_middle88631</t>
        </is>
      </c>
    </row>
    <row r="633">
      <c r="A633" t="inlineStr">
        <is>
          <t>Movimento do Céu que Cai</t>
        </is>
      </c>
      <c r="B633" s="2" t="inlineStr">
        <is>
          <t>m</t>
        </is>
      </c>
      <c r="C633" s="2" t="inlineStr">
        <is>
          <t>s</t>
        </is>
      </c>
      <c r="D633" t="inlineStr">
        <is>
          <t>坠天式</t>
        </is>
      </c>
      <c r="E633" t="inlineStr">
        <is>
          <t>Move of Falling Sky</t>
        </is>
      </c>
      <c r="F633" t="inlineStr">
        <is>
          <t>skill_name_middle88633</t>
        </is>
      </c>
    </row>
    <row r="634">
      <c r="A634" t="inlineStr">
        <is>
          <t>Maldição Encantadora</t>
        </is>
      </c>
      <c r="B634" s="2" t="inlineStr">
        <is>
          <t>f</t>
        </is>
      </c>
      <c r="C634" s="2" t="inlineStr">
        <is>
          <t>s</t>
        </is>
      </c>
      <c r="D634" t="inlineStr">
        <is>
          <t>惑心咒</t>
        </is>
      </c>
      <c r="E634" t="inlineStr">
        <is>
          <t>Charming Curse</t>
        </is>
      </c>
      <c r="F634" t="inlineStr">
        <is>
          <t>skill_name_middle91011</t>
        </is>
      </c>
    </row>
    <row r="635">
      <c r="A635" t="inlineStr">
        <is>
          <t>Espírito da Confusão</t>
        </is>
      </c>
      <c r="B635" s="2" t="inlineStr">
        <is>
          <t>m</t>
        </is>
      </c>
      <c r="C635" s="2" t="inlineStr">
        <is>
          <t>s</t>
        </is>
      </c>
      <c r="D635" t="inlineStr">
        <is>
          <t>迷眩之灵</t>
        </is>
      </c>
      <c r="E635" t="inlineStr">
        <is>
          <t>Spirit of Confusion</t>
        </is>
      </c>
      <c r="F635" t="inlineStr">
        <is>
          <t>skill_name_middle91012</t>
        </is>
      </c>
    </row>
    <row r="636">
      <c r="A636" t="inlineStr">
        <is>
          <t>Hipnose</t>
        </is>
      </c>
      <c r="B636" s="2" t="inlineStr">
        <is>
          <t>f</t>
        </is>
      </c>
      <c r="C636" s="2" t="inlineStr">
        <is>
          <t>s</t>
        </is>
      </c>
      <c r="D636" t="inlineStr">
        <is>
          <t>霜梦幻域</t>
        </is>
      </c>
      <c r="E636" t="inlineStr">
        <is>
          <t>Hypnosis</t>
        </is>
      </c>
      <c r="F636" t="inlineStr">
        <is>
          <t>skill_name_middle91013</t>
        </is>
      </c>
    </row>
    <row r="637">
      <c r="A637" t="inlineStr">
        <is>
          <t>Frio nos Ossos</t>
        </is>
      </c>
      <c r="B637" s="2" t="inlineStr">
        <is>
          <t>m</t>
        </is>
      </c>
      <c r="C637" s="2" t="inlineStr">
        <is>
          <t>s</t>
        </is>
      </c>
      <c r="D637" t="inlineStr">
        <is>
          <t>凝骨劲</t>
        </is>
      </c>
      <c r="E637" t="inlineStr">
        <is>
          <t>Bonechill</t>
        </is>
      </c>
      <c r="F637" t="inlineStr">
        <is>
          <t>skill_name_middle91021</t>
        </is>
      </c>
    </row>
    <row r="638">
      <c r="A638" t="inlineStr">
        <is>
          <t>Ossogelo Encantado</t>
        </is>
      </c>
      <c r="B638" s="2" t="inlineStr">
        <is>
          <t>m</t>
        </is>
      </c>
      <c r="C638" s="2" t="inlineStr">
        <is>
          <t>s</t>
        </is>
      </c>
      <c r="D638" t="inlineStr">
        <is>
          <t>惊魔变</t>
        </is>
      </c>
      <c r="E638" t="inlineStr">
        <is>
          <t>Enchanted Bonechill</t>
        </is>
      </c>
      <c r="F638" t="inlineStr">
        <is>
          <t>skill_name_middle910211</t>
        </is>
      </c>
    </row>
    <row r="639">
      <c r="A639" t="inlineStr">
        <is>
          <t>Tempestade Quebra-Céu</t>
        </is>
      </c>
      <c r="B639" s="2" t="inlineStr">
        <is>
          <t>f</t>
        </is>
      </c>
      <c r="C639" s="2" t="inlineStr">
        <is>
          <t>s</t>
        </is>
      </c>
      <c r="D639" t="inlineStr">
        <is>
          <t>裂天风涌</t>
        </is>
      </c>
      <c r="E639" t="inlineStr">
        <is>
          <t>Skybreak Storm</t>
        </is>
      </c>
      <c r="F639" t="inlineStr">
        <is>
          <t>skill_name_middle91023</t>
        </is>
      </c>
    </row>
    <row r="640">
      <c r="A640" t="inlineStr">
        <is>
          <t>Som da Calma</t>
        </is>
      </c>
      <c r="B640" s="2" t="inlineStr">
        <is>
          <t>m</t>
        </is>
      </c>
      <c r="C640" s="2" t="inlineStr">
        <is>
          <t>s</t>
        </is>
      </c>
      <c r="D640" t="inlineStr">
        <is>
          <t>静灵引</t>
        </is>
      </c>
      <c r="E640" t="inlineStr">
        <is>
          <t>Sound of Calmness</t>
        </is>
      </c>
      <c r="F640" t="inlineStr">
        <is>
          <t>skill_name_middle91031</t>
        </is>
      </c>
    </row>
    <row r="641">
      <c r="A641" t="inlineStr">
        <is>
          <t>Melodia da Queda Lunar</t>
        </is>
      </c>
      <c r="B641" s="2" t="inlineStr">
        <is>
          <t>f</t>
        </is>
      </c>
      <c r="C641" s="2" t="inlineStr">
        <is>
          <t>s</t>
        </is>
      </c>
      <c r="D641" t="inlineStr">
        <is>
          <t>月落潮生</t>
        </is>
      </c>
      <c r="E641" t="inlineStr">
        <is>
          <t>Moonfall Melody</t>
        </is>
      </c>
      <c r="F641" t="inlineStr">
        <is>
          <t>skill_name_middle91032</t>
        </is>
      </c>
    </row>
    <row r="642">
      <c r="A642" t="inlineStr">
        <is>
          <t>Luz na Noite Escura</t>
        </is>
      </c>
      <c r="B642" s="2" t="inlineStr">
        <is>
          <t>m</t>
        </is>
      </c>
      <c r="C642" s="2" t="inlineStr">
        <is>
          <t>s</t>
        </is>
      </c>
      <c r="D642" t="inlineStr">
        <is>
          <t>晦夜重明</t>
        </is>
      </c>
      <c r="E642" t="inlineStr">
        <is>
          <t>Light in the Dark Night</t>
        </is>
      </c>
      <c r="F642" t="inlineStr">
        <is>
          <t>skill_name_middle91033</t>
        </is>
      </c>
    </row>
    <row r="643">
      <c r="A643" t="inlineStr">
        <is>
          <t>Ferrão Perfurante</t>
        </is>
      </c>
      <c r="B643" s="2" t="inlineStr">
        <is>
          <t>m</t>
        </is>
      </c>
      <c r="C643" s="2" t="inlineStr">
        <is>
          <t>s</t>
        </is>
      </c>
      <c r="D643" t="inlineStr">
        <is>
          <t>断筋刺</t>
        </is>
      </c>
      <c r="E643" t="inlineStr">
        <is>
          <t>Piercing Sting</t>
        </is>
      </c>
      <c r="F643" t="inlineStr">
        <is>
          <t>skill_name_middle91041</t>
        </is>
      </c>
    </row>
    <row r="644">
      <c r="A644" t="inlineStr">
        <is>
          <t>Garra de Fogo Fantasma</t>
        </is>
      </c>
      <c r="B644" s="2" t="inlineStr">
        <is>
          <t>f</t>
        </is>
      </c>
      <c r="C644" s="2" t="inlineStr">
        <is>
          <t>s</t>
        </is>
      </c>
      <c r="D644" t="inlineStr">
        <is>
          <t>幽泉炎爪</t>
        </is>
      </c>
      <c r="E644" t="inlineStr">
        <is>
          <t>Ghostly Fireclaw</t>
        </is>
      </c>
      <c r="F644" t="inlineStr">
        <is>
          <t>skill_name_middle91042</t>
        </is>
      </c>
    </row>
    <row r="645">
      <c r="A645" t="inlineStr">
        <is>
          <t>Sombra do Submundo</t>
        </is>
      </c>
      <c r="B645" s="2" t="inlineStr">
        <is>
          <t>f</t>
        </is>
      </c>
      <c r="C645" s="2" t="inlineStr">
        <is>
          <t>s</t>
        </is>
      </c>
      <c r="D645" t="inlineStr">
        <is>
          <t>鬼狱乱影</t>
        </is>
      </c>
      <c r="E645" t="inlineStr">
        <is>
          <t>Underworld Shadow</t>
        </is>
      </c>
      <c r="F645" t="inlineStr">
        <is>
          <t>skill_name_middle91043</t>
        </is>
      </c>
    </row>
    <row r="646">
      <c r="A646" t="inlineStr">
        <is>
          <t>Transferência Divina</t>
        </is>
      </c>
      <c r="B646" s="2" t="inlineStr">
        <is>
          <t>f</t>
        </is>
      </c>
      <c r="C646" s="2" t="inlineStr">
        <is>
          <t>s</t>
        </is>
      </c>
      <c r="D646" t="inlineStr">
        <is>
          <t>汲神诀</t>
        </is>
      </c>
      <c r="E646" t="inlineStr">
        <is>
          <t>Divine Transfer</t>
        </is>
      </c>
      <c r="F646" t="inlineStr">
        <is>
          <t>skill_name_middle91051</t>
        </is>
      </c>
    </row>
    <row r="647">
      <c r="A647" t="inlineStr">
        <is>
          <t>Aniquilação Imortal</t>
        </is>
      </c>
      <c r="B647" s="2" t="inlineStr">
        <is>
          <t>f</t>
        </is>
      </c>
      <c r="C647" s="2" t="inlineStr">
        <is>
          <t>s</t>
        </is>
      </c>
      <c r="D647" t="inlineStr">
        <is>
          <t>修灭仙破</t>
        </is>
      </c>
      <c r="E647" t="inlineStr">
        <is>
          <t>Immortal Annihilation</t>
        </is>
      </c>
      <c r="F647" t="inlineStr">
        <is>
          <t>skill_name_middle91052</t>
        </is>
      </c>
    </row>
    <row r="648">
      <c r="A648" t="inlineStr">
        <is>
          <t>Julgamento das Estrelas</t>
        </is>
      </c>
      <c r="B648" s="2" t="inlineStr">
        <is>
          <t>m</t>
        </is>
      </c>
      <c r="C648" s="2" t="inlineStr">
        <is>
          <t>s</t>
        </is>
      </c>
      <c r="D648" t="inlineStr">
        <is>
          <t>天罡神杀</t>
        </is>
      </c>
      <c r="E648" t="inlineStr">
        <is>
          <t>Judgment of the Stars</t>
        </is>
      </c>
      <c r="F648" t="inlineStr">
        <is>
          <t>skill_name_middle91053</t>
        </is>
      </c>
    </row>
    <row r="649">
      <c r="A649" t="inlineStr">
        <is>
          <t>Qi Sólido</t>
        </is>
      </c>
      <c r="B649" s="2" t="inlineStr">
        <is>
          <t>m</t>
        </is>
      </c>
      <c r="C649" s="2" t="inlineStr">
        <is>
          <t>s</t>
        </is>
      </c>
      <c r="D649" t="inlineStr">
        <is>
          <t>固元功</t>
        </is>
      </c>
      <c r="E649" t="inlineStr">
        <is>
          <t>Solid Qi</t>
        </is>
      </c>
      <c r="F649" t="inlineStr">
        <is>
          <t>skill_name_middle91061</t>
        </is>
      </c>
    </row>
    <row r="650">
      <c r="A650" t="inlineStr">
        <is>
          <t>Explosão de Qi</t>
        </is>
      </c>
      <c r="B650" s="2" t="inlineStr">
        <is>
          <t>f</t>
        </is>
      </c>
      <c r="C650" s="2" t="inlineStr">
        <is>
          <t>s</t>
        </is>
      </c>
      <c r="D650" t="inlineStr">
        <is>
          <t>气镇八方</t>
        </is>
      </c>
      <c r="E650" t="inlineStr">
        <is>
          <t>Qi Blast</t>
        </is>
      </c>
      <c r="F650" t="inlineStr">
        <is>
          <t>skill_name_middle91062</t>
        </is>
      </c>
    </row>
    <row r="651">
      <c r="A651" t="inlineStr">
        <is>
          <t>Barreira do Guardião</t>
        </is>
      </c>
      <c r="B651" s="2" t="inlineStr">
        <is>
          <t>f</t>
        </is>
      </c>
      <c r="C651" s="2" t="inlineStr">
        <is>
          <t>s</t>
        </is>
      </c>
      <c r="D651" t="inlineStr">
        <is>
          <t>擎苍御阵</t>
        </is>
      </c>
      <c r="E651" t="inlineStr">
        <is>
          <t>Guardian's Barrier</t>
        </is>
      </c>
      <c r="F651" t="inlineStr">
        <is>
          <t>skill_name_middle91063</t>
        </is>
      </c>
    </row>
    <row r="652">
      <c r="A652" t="inlineStr">
        <is>
          <t>Quebra-Céu Escaldante</t>
        </is>
      </c>
      <c r="B652" s="2" t="inlineStr">
        <is>
          <t>m</t>
        </is>
      </c>
      <c r="C652" s="2" t="inlineStr">
        <is>
          <t>s</t>
        </is>
      </c>
      <c r="D652" t="inlineStr">
        <is>
          <t>灼天破</t>
        </is>
      </c>
      <c r="E652" t="inlineStr">
        <is>
          <t>Searing Skybreak</t>
        </is>
      </c>
      <c r="F652" t="inlineStr">
        <is>
          <t>skill_name_middle91071</t>
        </is>
      </c>
    </row>
    <row r="653">
      <c r="A653" t="inlineStr">
        <is>
          <t>Mergulho no Abismo</t>
        </is>
      </c>
      <c r="B653" s="2" t="inlineStr">
        <is>
          <t>m</t>
        </is>
      </c>
      <c r="C653" s="2" t="inlineStr">
        <is>
          <t>s</t>
        </is>
      </c>
      <c r="D653" t="inlineStr">
        <is>
          <t>渊潜九幽</t>
        </is>
      </c>
      <c r="E653" t="inlineStr">
        <is>
          <t>Abyss Dive</t>
        </is>
      </c>
      <c r="F653" t="inlineStr">
        <is>
          <t>skill_name_middle91072</t>
        </is>
      </c>
    </row>
    <row r="654">
      <c r="A654" t="inlineStr">
        <is>
          <t>Trovão Celestial</t>
        </is>
      </c>
      <c r="B654" s="2" t="inlineStr">
        <is>
          <t>m</t>
        </is>
      </c>
      <c r="C654" s="2" t="inlineStr">
        <is>
          <t>s</t>
        </is>
      </c>
      <c r="D654" t="inlineStr">
        <is>
          <t>雳震九霄</t>
        </is>
      </c>
      <c r="E654" t="inlineStr">
        <is>
          <t>Sky Thunder</t>
        </is>
      </c>
      <c r="F654" t="inlineStr">
        <is>
          <t>skill_name_middle91073</t>
        </is>
      </c>
    </row>
    <row r="655">
      <c r="A655" t="inlineStr">
        <is>
          <t>Quebra de Alma</t>
        </is>
      </c>
      <c r="B655" s="2" t="inlineStr">
        <is>
          <t>f</t>
        </is>
      </c>
      <c r="C655" s="2" t="inlineStr">
        <is>
          <t>s</t>
        </is>
      </c>
      <c r="D655" t="inlineStr">
        <is>
          <t>摧魂噬</t>
        </is>
      </c>
      <c r="E655" t="inlineStr">
        <is>
          <t>Soul Break</t>
        </is>
      </c>
      <c r="F655" t="inlineStr">
        <is>
          <t>skill_name_middle91081</t>
        </is>
      </c>
    </row>
    <row r="656">
      <c r="A656" t="inlineStr">
        <is>
          <t>Abraço do Sangue Frio</t>
        </is>
      </c>
      <c r="B656" s="2" t="inlineStr">
        <is>
          <t>m</t>
        </is>
      </c>
      <c r="C656" s="2" t="inlineStr">
        <is>
          <t>s</t>
        </is>
      </c>
      <c r="D656" t="inlineStr">
        <is>
          <t>寒血之拥</t>
        </is>
      </c>
      <c r="E656" t="inlineStr">
        <is>
          <t>Embrace of Cold Blood</t>
        </is>
      </c>
      <c r="F656" t="inlineStr">
        <is>
          <t>skill_name_middle91082</t>
        </is>
      </c>
    </row>
    <row r="657">
      <c r="A657" t="inlineStr">
        <is>
          <t>Erosão do Mar</t>
        </is>
      </c>
      <c r="B657" s="2" t="inlineStr">
        <is>
          <t>f</t>
        </is>
      </c>
      <c r="C657" s="2" t="inlineStr">
        <is>
          <t>s</t>
        </is>
      </c>
      <c r="D657" t="inlineStr">
        <is>
          <t>万界蚀海</t>
        </is>
      </c>
      <c r="E657" t="inlineStr">
        <is>
          <t>Sea Erosion</t>
        </is>
      </c>
      <c r="F657" t="inlineStr">
        <is>
          <t>skill_name_middle91083</t>
        </is>
      </c>
    </row>
    <row r="658">
      <c r="A658" t="inlineStr">
        <is>
          <t>Onda de Maré</t>
        </is>
      </c>
      <c r="B658" s="2" t="inlineStr">
        <is>
          <t>f</t>
        </is>
      </c>
      <c r="C658" s="2" t="inlineStr">
        <is>
          <t>s</t>
        </is>
      </c>
      <c r="D658" t="inlineStr">
        <is>
          <t>潮涌</t>
        </is>
      </c>
      <c r="E658" t="inlineStr">
        <is>
          <t>Tidal Surge</t>
        </is>
      </c>
      <c r="F658" t="inlineStr">
        <is>
          <t>skill_name_middle92011</t>
        </is>
      </c>
    </row>
    <row r="659">
      <c r="A659" t="inlineStr">
        <is>
          <t>Onda Furiosa</t>
        </is>
      </c>
      <c r="B659" s="2" t="inlineStr">
        <is>
          <t>f</t>
        </is>
      </c>
      <c r="C659" s="2" t="inlineStr">
        <is>
          <t>s</t>
        </is>
      </c>
      <c r="D659" t="inlineStr">
        <is>
          <t>狂澜</t>
        </is>
      </c>
      <c r="E659" t="inlineStr">
        <is>
          <t>Raging Wave</t>
        </is>
      </c>
      <c r="F659" t="inlineStr">
        <is>
          <t>skill_name_middle92012</t>
        </is>
      </c>
    </row>
    <row r="660">
      <c r="A660" t="inlineStr">
        <is>
          <t>Chamado dos Espíritos</t>
        </is>
      </c>
      <c r="B660" s="2" t="inlineStr">
        <is>
          <t>m</t>
        </is>
      </c>
      <c r="C660" s="2" t="inlineStr">
        <is>
          <t>s</t>
        </is>
      </c>
      <c r="D660" t="inlineStr">
        <is>
          <t>唤灵</t>
        </is>
      </c>
      <c r="E660" t="inlineStr">
        <is>
          <t>Spiritcall</t>
        </is>
      </c>
      <c r="F660" t="inlineStr">
        <is>
          <t>skill_name_middle92022</t>
        </is>
      </c>
    </row>
    <row r="661">
      <c r="A661" t="inlineStr">
        <is>
          <t>Seta Cindidora</t>
        </is>
      </c>
      <c r="B661" s="2" t="inlineStr">
        <is>
          <t>f</t>
        </is>
      </c>
      <c r="C661" s="2" t="inlineStr">
        <is>
          <t>s</t>
        </is>
      </c>
      <c r="D661" t="inlineStr">
        <is>
          <t>破体箭</t>
        </is>
      </c>
      <c r="E661" t="inlineStr">
        <is>
          <t>Sundering Arrow</t>
        </is>
      </c>
      <c r="F661" t="inlineStr">
        <is>
          <t>skill_name_middle92031</t>
        </is>
      </c>
    </row>
    <row r="662">
      <c r="A662" t="inlineStr">
        <is>
          <t>Saraivada</t>
        </is>
      </c>
      <c r="B662" s="2" t="inlineStr">
        <is>
          <t>f</t>
        </is>
      </c>
      <c r="C662" s="2" t="inlineStr">
        <is>
          <t>s</t>
        </is>
      </c>
      <c r="D662" t="inlineStr">
        <is>
          <t>齐射</t>
        </is>
      </c>
      <c r="E662" t="inlineStr">
        <is>
          <t>Volley</t>
        </is>
      </c>
      <c r="F662" t="inlineStr">
        <is>
          <t>skill_name_middle92032</t>
        </is>
      </c>
    </row>
    <row r="663">
      <c r="A663" t="inlineStr">
        <is>
          <t>Percussão</t>
        </is>
      </c>
      <c r="B663" s="2" t="inlineStr">
        <is>
          <t>f</t>
        </is>
      </c>
      <c r="C663" s="2" t="inlineStr">
        <is>
          <t>s</t>
        </is>
      </c>
      <c r="D663" t="inlineStr">
        <is>
          <t>槌击</t>
        </is>
      </c>
      <c r="E663" t="inlineStr">
        <is>
          <t>Percussion</t>
        </is>
      </c>
      <c r="F663" t="inlineStr">
        <is>
          <t>skill_name_middle92041</t>
        </is>
      </c>
    </row>
    <row r="664">
      <c r="A664" t="inlineStr">
        <is>
          <t>Revigoramento</t>
        </is>
      </c>
      <c r="B664" s="2" t="inlineStr">
        <is>
          <t>m</t>
        </is>
      </c>
      <c r="C664" s="2" t="inlineStr">
        <is>
          <t>s</t>
        </is>
      </c>
      <c r="D664" t="inlineStr">
        <is>
          <t>鼓舞</t>
        </is>
      </c>
      <c r="E664" t="inlineStr">
        <is>
          <t>Invigoration</t>
        </is>
      </c>
      <c r="F664" t="inlineStr">
        <is>
          <t>skill_name_middle92042</t>
        </is>
      </c>
    </row>
    <row r="665">
      <c r="A665" t="inlineStr">
        <is>
          <t>Gume Cortante</t>
        </is>
      </c>
      <c r="B665" s="2" t="inlineStr">
        <is>
          <t>m</t>
        </is>
      </c>
      <c r="C665" s="2" t="inlineStr">
        <is>
          <t>s</t>
        </is>
      </c>
      <c r="D665" t="inlineStr">
        <is>
          <t>飞芒</t>
        </is>
      </c>
      <c r="E665" t="inlineStr">
        <is>
          <t>Cutting Edge</t>
        </is>
      </c>
      <c r="F665" t="inlineStr">
        <is>
          <t>skill_name_middle92051</t>
        </is>
      </c>
    </row>
    <row r="666">
      <c r="A666" t="inlineStr">
        <is>
          <t>Dança da Lâmina</t>
        </is>
      </c>
      <c r="B666" s="2" t="inlineStr">
        <is>
          <t>f</t>
        </is>
      </c>
      <c r="C666" s="2" t="inlineStr">
        <is>
          <t>s</t>
        </is>
      </c>
      <c r="D666" t="inlineStr">
        <is>
          <t>刃舞</t>
        </is>
      </c>
      <c r="E666" t="inlineStr">
        <is>
          <t>Blade Dance</t>
        </is>
      </c>
      <c r="F666" t="inlineStr">
        <is>
          <t>skill_name_middle92052</t>
        </is>
      </c>
    </row>
    <row r="667">
      <c r="A667" t="inlineStr">
        <is>
          <t>Chamado dos Javalis</t>
        </is>
      </c>
      <c r="B667" s="2" t="inlineStr">
        <is>
          <t>m</t>
        </is>
      </c>
      <c r="C667" s="2" t="inlineStr">
        <is>
          <t>s</t>
        </is>
      </c>
      <c r="D667" t="inlineStr">
        <is>
          <t>唤群</t>
        </is>
      </c>
      <c r="E667" t="inlineStr">
        <is>
          <t>Boarcall</t>
        </is>
      </c>
      <c r="F667" t="inlineStr">
        <is>
          <t>skill_name_middle92061</t>
        </is>
      </c>
    </row>
    <row r="668">
      <c r="A668" t="inlineStr">
        <is>
          <t>Retorno à Vida</t>
        </is>
      </c>
      <c r="B668" s="2" t="inlineStr">
        <is>
          <t>m</t>
        </is>
      </c>
      <c r="C668" s="2" t="inlineStr">
        <is>
          <t>s</t>
        </is>
      </c>
      <c r="D668" t="inlineStr">
        <is>
          <t>回魂</t>
        </is>
      </c>
      <c r="E668" t="inlineStr">
        <is>
          <t>Return to Life</t>
        </is>
      </c>
      <c r="F668" t="inlineStr">
        <is>
          <t>skill_name_middle92062</t>
        </is>
      </c>
    </row>
    <row r="669">
      <c r="A669" t="inlineStr">
        <is>
          <t>Força Acumulada</t>
        </is>
      </c>
      <c r="B669" s="2" t="inlineStr">
        <is>
          <t>f</t>
        </is>
      </c>
      <c r="C669" s="2" t="inlineStr">
        <is>
          <t>s</t>
        </is>
      </c>
      <c r="D669" t="inlineStr">
        <is>
          <t>御劲</t>
        </is>
      </c>
      <c r="E669" t="inlineStr">
        <is>
          <t>Accumulated Force</t>
        </is>
      </c>
      <c r="F669" t="inlineStr">
        <is>
          <t>skill_name_middle92071</t>
        </is>
      </c>
    </row>
    <row r="670">
      <c r="A670" t="inlineStr">
        <is>
          <t>Pisada que Abala a Terra</t>
        </is>
      </c>
      <c r="B670" s="2" t="inlineStr">
        <is>
          <t>f</t>
        </is>
      </c>
      <c r="C670" s="2" t="inlineStr">
        <is>
          <t>s</t>
        </is>
      </c>
      <c r="D670" t="inlineStr">
        <is>
          <t>撼地</t>
        </is>
      </c>
      <c r="E670" t="inlineStr">
        <is>
          <t>Earthshaking Stomp</t>
        </is>
      </c>
      <c r="F670" t="inlineStr">
        <is>
          <t>skill_name_middle92072</t>
        </is>
      </c>
    </row>
    <row r="671">
      <c r="A671" t="inlineStr">
        <is>
          <t>Desenvolvimento Sólido</t>
        </is>
      </c>
      <c r="B671" s="2" t="inlineStr">
        <is>
          <t>m</t>
        </is>
      </c>
      <c r="C671" s="2" t="inlineStr">
        <is>
          <t>s</t>
        </is>
      </c>
      <c r="D671" t="inlineStr">
        <is>
          <t>固本</t>
        </is>
      </c>
      <c r="E671" t="inlineStr">
        <is>
          <t>Solid Development</t>
        </is>
      </c>
      <c r="F671" t="inlineStr">
        <is>
          <t>skill_name_middle92081</t>
        </is>
      </c>
    </row>
    <row r="672">
      <c r="A672" t="inlineStr">
        <is>
          <t>Explosão do Escudo</t>
        </is>
      </c>
      <c r="B672" s="2" t="inlineStr">
        <is>
          <t>f</t>
        </is>
      </c>
      <c r="C672" s="2" t="inlineStr">
        <is>
          <t>s</t>
        </is>
      </c>
      <c r="D672" t="inlineStr">
        <is>
          <t>抵元功</t>
        </is>
      </c>
      <c r="E672" t="inlineStr">
        <is>
          <t>Shield Explosion</t>
        </is>
      </c>
      <c r="F672" t="inlineStr">
        <is>
          <t>skill_name_middle92082</t>
        </is>
      </c>
    </row>
    <row r="673">
      <c r="A673" t="inlineStr">
        <is>
          <t>Meridianos Nutridos</t>
        </is>
      </c>
      <c r="B673" s="2" t="inlineStr">
        <is>
          <t>m</t>
        </is>
      </c>
      <c r="C673" s="2" t="inlineStr">
        <is>
          <t>p</t>
        </is>
      </c>
      <c r="D673" t="inlineStr">
        <is>
          <t>润脉</t>
        </is>
      </c>
      <c r="E673" t="inlineStr">
        <is>
          <t>Nourished Meridians</t>
        </is>
      </c>
      <c r="F673" t="inlineStr">
        <is>
          <t>skill_name_middle92091</t>
        </is>
      </c>
    </row>
    <row r="674">
      <c r="A674" t="inlineStr">
        <is>
          <t>Felicidade</t>
        </is>
      </c>
      <c r="B674" s="2" t="inlineStr">
        <is>
          <t>f</t>
        </is>
      </c>
      <c r="C674" s="2" t="inlineStr">
        <is>
          <t>s</t>
        </is>
      </c>
      <c r="D674" t="inlineStr">
        <is>
          <t>忘忧</t>
        </is>
      </c>
      <c r="E674" t="inlineStr">
        <is>
          <t>Bliss</t>
        </is>
      </c>
      <c r="F674" t="inlineStr">
        <is>
          <t>skill_name_middle92092</t>
        </is>
      </c>
    </row>
    <row r="675">
      <c r="A675" t="inlineStr">
        <is>
          <t>Golpe Duplo</t>
        </is>
      </c>
      <c r="B675" s="2" t="inlineStr">
        <is>
          <t>m</t>
        </is>
      </c>
      <c r="C675" s="2" t="inlineStr">
        <is>
          <t>s</t>
        </is>
      </c>
      <c r="D675" t="inlineStr">
        <is>
          <t>重峦</t>
        </is>
      </c>
      <c r="E675" t="inlineStr">
        <is>
          <t>Double Strike</t>
        </is>
      </c>
      <c r="F675" t="inlineStr">
        <is>
          <t>skill_name_middle92101</t>
        </is>
      </c>
    </row>
    <row r="676">
      <c r="A676" t="inlineStr">
        <is>
          <t>Véu das Montanhas</t>
        </is>
      </c>
      <c r="B676" s="2" t="inlineStr">
        <is>
          <t>m</t>
        </is>
      </c>
      <c r="C676" s="2" t="inlineStr">
        <is>
          <t>s</t>
        </is>
      </c>
      <c r="D676" t="inlineStr">
        <is>
          <t>叠嶂</t>
        </is>
      </c>
      <c r="E676" t="inlineStr">
        <is>
          <t>Shroud of Mountains</t>
        </is>
      </c>
      <c r="F676" t="inlineStr">
        <is>
          <t>skill_name_middle921011</t>
        </is>
      </c>
    </row>
    <row r="677">
      <c r="A677" t="inlineStr">
        <is>
          <t>Impulso</t>
        </is>
      </c>
      <c r="B677" s="2" t="inlineStr">
        <is>
          <t>m</t>
        </is>
      </c>
      <c r="C677" s="2" t="inlineStr">
        <is>
          <t>s</t>
        </is>
      </c>
      <c r="D677" t="inlineStr">
        <is>
          <t>奔势</t>
        </is>
      </c>
      <c r="E677" t="inlineStr">
        <is>
          <t>Momentum</t>
        </is>
      </c>
      <c r="F677" t="inlineStr">
        <is>
          <t>skill_name_middle92111</t>
        </is>
      </c>
    </row>
    <row r="678">
      <c r="A678" t="inlineStr">
        <is>
          <t>Aumento da Vitalidade</t>
        </is>
      </c>
      <c r="B678" s="2" t="inlineStr">
        <is>
          <t>m</t>
        </is>
      </c>
      <c r="C678" s="2" t="inlineStr">
        <is>
          <t>s</t>
        </is>
      </c>
      <c r="D678" t="inlineStr">
        <is>
          <t>沉气血</t>
        </is>
      </c>
      <c r="E678" t="inlineStr">
        <is>
          <t>Rising Vitality</t>
        </is>
      </c>
      <c r="F678" t="inlineStr">
        <is>
          <t>skill_name_middle92112</t>
        </is>
      </c>
    </row>
    <row r="679">
      <c r="A679" t="inlineStr">
        <is>
          <t>Absorção Divina</t>
        </is>
      </c>
      <c r="B679" s="2" t="inlineStr">
        <is>
          <t>f</t>
        </is>
      </c>
      <c r="C679" s="2" t="inlineStr">
        <is>
          <t>s</t>
        </is>
      </c>
      <c r="D679" t="inlineStr">
        <is>
          <t>汲神</t>
        </is>
      </c>
      <c r="E679" t="inlineStr">
        <is>
          <t>Divine Absorption</t>
        </is>
      </c>
      <c r="F679" t="inlineStr">
        <is>
          <t>skill_name_middle92121</t>
        </is>
      </c>
    </row>
    <row r="680">
      <c r="A680" t="inlineStr">
        <is>
          <t>Bombardeio do Espírito</t>
        </is>
      </c>
      <c r="B680" s="2" t="inlineStr">
        <is>
          <t>m</t>
        </is>
      </c>
      <c r="C680" s="2" t="inlineStr">
        <is>
          <t>s</t>
        </is>
      </c>
      <c r="D680" t="inlineStr">
        <is>
          <t>摧元</t>
        </is>
      </c>
      <c r="E680" t="inlineStr">
        <is>
          <t>Spirit Bombardment</t>
        </is>
      </c>
      <c r="F680" t="inlineStr">
        <is>
          <t>skill_name_middle92122</t>
        </is>
      </c>
    </row>
    <row r="681">
      <c r="A681" t="inlineStr">
        <is>
          <t>Chama Ciano</t>
        </is>
      </c>
      <c r="B681" s="2" t="inlineStr">
        <is>
          <t>f</t>
        </is>
      </c>
      <c r="C681" s="2" t="inlineStr">
        <is>
          <t>s</t>
        </is>
      </c>
      <c r="D681" t="inlineStr">
        <is>
          <t>青焰</t>
        </is>
      </c>
      <c r="E681" t="inlineStr">
        <is>
          <t>Cyan Flame</t>
        </is>
      </c>
      <c r="F681" t="inlineStr">
        <is>
          <t>skill_name_middle92131</t>
        </is>
      </c>
    </row>
    <row r="682">
      <c r="A682" t="inlineStr">
        <is>
          <t>Chama Crepitante</t>
        </is>
      </c>
      <c r="B682" s="2" t="inlineStr">
        <is>
          <t>f</t>
        </is>
      </c>
      <c r="C682" s="2" t="inlineStr">
        <is>
          <t>s</t>
        </is>
      </c>
      <c r="D682" t="inlineStr">
        <is>
          <t>爆炎</t>
        </is>
      </c>
      <c r="E682" t="inlineStr">
        <is>
          <t>Crackling Flame</t>
        </is>
      </c>
      <c r="F682" t="inlineStr">
        <is>
          <t>skill_name_middle921311</t>
        </is>
      </c>
    </row>
    <row r="683">
      <c r="A683" t="inlineStr">
        <is>
          <t>Corte Rugidor</t>
        </is>
      </c>
      <c r="B683" s="2" t="inlineStr">
        <is>
          <t>m</t>
        </is>
      </c>
      <c r="C683" s="2" t="inlineStr">
        <is>
          <t>s</t>
        </is>
      </c>
      <c r="D683" t="inlineStr">
        <is>
          <t>啸斩</t>
        </is>
      </c>
      <c r="E683" t="inlineStr">
        <is>
          <t>Roaring Slash</t>
        </is>
      </c>
      <c r="F683" t="inlineStr">
        <is>
          <t>skill_name_middle92141</t>
        </is>
      </c>
    </row>
    <row r="684">
      <c r="A684" t="inlineStr">
        <is>
          <t>Vontade de Lutar</t>
        </is>
      </c>
      <c r="B684" s="2" t="inlineStr">
        <is>
          <t>f</t>
        </is>
      </c>
      <c r="C684" s="2" t="inlineStr">
        <is>
          <t>s</t>
        </is>
      </c>
      <c r="D684" t="inlineStr">
        <is>
          <t>战意</t>
        </is>
      </c>
      <c r="E684" t="inlineStr">
        <is>
          <t>Will to Battle</t>
        </is>
      </c>
      <c r="F684" t="inlineStr">
        <is>
          <t>skill_name_middle92142</t>
        </is>
      </c>
    </row>
    <row r="685">
      <c r="A685" t="inlineStr">
        <is>
          <t>Revitalização</t>
        </is>
      </c>
      <c r="B685" s="2" t="inlineStr">
        <is>
          <t>f</t>
        </is>
      </c>
      <c r="C685" s="2" t="inlineStr">
        <is>
          <t>s</t>
        </is>
      </c>
      <c r="D685" t="inlineStr">
        <is>
          <t>回生</t>
        </is>
      </c>
      <c r="E685" t="inlineStr">
        <is>
          <t>Revitalization</t>
        </is>
      </c>
      <c r="F685" t="inlineStr">
        <is>
          <t>skill_name_middle92151</t>
        </is>
      </c>
    </row>
    <row r="686">
      <c r="A686" t="inlineStr">
        <is>
          <t>Retribuição</t>
        </is>
      </c>
      <c r="B686" s="2" t="inlineStr">
        <is>
          <t>f</t>
        </is>
      </c>
      <c r="C686" s="2" t="inlineStr">
        <is>
          <t>s</t>
        </is>
      </c>
      <c r="D686" t="inlineStr">
        <is>
          <t>反哺</t>
        </is>
      </c>
      <c r="E686" t="inlineStr">
        <is>
          <t>Requite</t>
        </is>
      </c>
      <c r="F686" t="inlineStr">
        <is>
          <t>skill_name_middle92152</t>
        </is>
      </c>
    </row>
    <row r="687">
      <c r="A687" t="inlineStr">
        <is>
          <t>Corte no Tendão</t>
        </is>
      </c>
      <c r="B687" s="2" t="inlineStr">
        <is>
          <t>m</t>
        </is>
      </c>
      <c r="C687" s="2" t="inlineStr">
        <is>
          <t>s</t>
        </is>
      </c>
      <c r="D687" t="inlineStr">
        <is>
          <t>断筋</t>
        </is>
      </c>
      <c r="E687" t="inlineStr">
        <is>
          <t>Hamstring</t>
        </is>
      </c>
      <c r="F687" t="inlineStr">
        <is>
          <t>skill_name_middle92161</t>
        </is>
      </c>
    </row>
    <row r="688">
      <c r="A688" t="inlineStr">
        <is>
          <t>Quebra-Vendaval</t>
        </is>
      </c>
      <c r="B688" s="2" t="inlineStr">
        <is>
          <t>m</t>
        </is>
      </c>
      <c r="C688" s="2" t="inlineStr">
        <is>
          <t>s</t>
        </is>
      </c>
      <c r="D688" t="inlineStr">
        <is>
          <t>碎风</t>
        </is>
      </c>
      <c r="E688" t="inlineStr">
        <is>
          <t>Galebreak</t>
        </is>
      </c>
      <c r="F688" t="inlineStr">
        <is>
          <t>skill_name_middle92162</t>
        </is>
      </c>
    </row>
    <row r="689">
      <c r="A689" t="inlineStr">
        <is>
          <t>Golpe na Garganta</t>
        </is>
      </c>
      <c r="B689" s="2" t="inlineStr">
        <is>
          <t>m</t>
        </is>
      </c>
      <c r="C689" s="2" t="inlineStr">
        <is>
          <t>s</t>
        </is>
      </c>
      <c r="D689" t="inlineStr">
        <is>
          <t>封喉</t>
        </is>
      </c>
      <c r="E689" t="inlineStr">
        <is>
          <t>Go for the Throat</t>
        </is>
      </c>
      <c r="F689" t="inlineStr">
        <is>
          <t>skill_name_middle92171</t>
        </is>
      </c>
    </row>
    <row r="690">
      <c r="A690" t="inlineStr">
        <is>
          <t>Sombra Devastadora</t>
        </is>
      </c>
      <c r="B690" s="2" t="inlineStr">
        <is>
          <t>f</t>
        </is>
      </c>
      <c r="C690" s="2" t="inlineStr">
        <is>
          <t>s</t>
        </is>
      </c>
      <c r="D690" t="inlineStr">
        <is>
          <t>破影</t>
        </is>
      </c>
      <c r="E690" t="inlineStr">
        <is>
          <t>Devastating Shadow</t>
        </is>
      </c>
      <c r="F690" t="inlineStr">
        <is>
          <t>skill_name_middle92172</t>
        </is>
      </c>
    </row>
    <row r="691">
      <c r="A691" t="inlineStr">
        <is>
          <t>Miríade</t>
        </is>
      </c>
      <c r="B691" s="2" t="inlineStr">
        <is>
          <t>f</t>
        </is>
      </c>
      <c r="C691" s="2" t="inlineStr">
        <is>
          <t>s</t>
        </is>
      </c>
      <c r="D691" t="inlineStr">
        <is>
          <t>万象</t>
        </is>
      </c>
      <c r="E691" t="inlineStr">
        <is>
          <t>Myriad</t>
        </is>
      </c>
      <c r="F691" t="inlineStr">
        <is>
          <t>skill_name_middle92181</t>
        </is>
      </c>
    </row>
    <row r="692">
      <c r="A692" t="inlineStr">
        <is>
          <t>Destruição Tóxica</t>
        </is>
      </c>
      <c r="B692" s="2" t="inlineStr">
        <is>
          <t>f</t>
        </is>
      </c>
      <c r="C692" s="2" t="inlineStr">
        <is>
          <t>s</t>
        </is>
      </c>
      <c r="D692" t="inlineStr">
        <is>
          <t>却邪</t>
        </is>
      </c>
      <c r="E692" t="inlineStr">
        <is>
          <t>Toxic Destruction</t>
        </is>
      </c>
      <c r="F692" t="inlineStr">
        <is>
          <t>skill_name_middle92182</t>
        </is>
      </c>
    </row>
    <row r="693">
      <c r="A693" t="inlineStr">
        <is>
          <t>Quebrador de Ferro</t>
        </is>
      </c>
      <c r="B693" s="2" t="inlineStr">
        <is>
          <t>m</t>
        </is>
      </c>
      <c r="C693" s="2" t="inlineStr">
        <is>
          <t>s</t>
        </is>
      </c>
      <c r="D693" t="inlineStr">
        <is>
          <t>斩铁</t>
        </is>
      </c>
      <c r="E693" t="inlineStr">
        <is>
          <t>Iron Breaker</t>
        </is>
      </c>
      <c r="F693" t="inlineStr">
        <is>
          <t>skill_name_middle92201</t>
        </is>
      </c>
    </row>
    <row r="694">
      <c r="A694" t="inlineStr">
        <is>
          <t>Caçador de Almas</t>
        </is>
      </c>
      <c r="B694" s="2" t="inlineStr">
        <is>
          <t>m</t>
        </is>
      </c>
      <c r="C694" s="2" t="inlineStr">
        <is>
          <t>s</t>
        </is>
      </c>
      <c r="D694" t="inlineStr">
        <is>
          <t>追魂</t>
        </is>
      </c>
      <c r="E694" t="inlineStr">
        <is>
          <t>Soul Chaser</t>
        </is>
      </c>
      <c r="F694" t="inlineStr">
        <is>
          <t>skill_name_middle92212</t>
        </is>
      </c>
    </row>
    <row r="695">
      <c r="A695" t="inlineStr">
        <is>
          <t>Invocação Verde</t>
        </is>
      </c>
      <c r="B695" s="2" t="inlineStr">
        <is>
          <t>f</t>
        </is>
      </c>
      <c r="C695" s="2" t="inlineStr">
        <is>
          <t>s</t>
        </is>
      </c>
      <c r="D695" t="inlineStr">
        <is>
          <t>青召</t>
        </is>
      </c>
      <c r="E695" t="inlineStr">
        <is>
          <t>Green Summon</t>
        </is>
      </c>
      <c r="F695" t="inlineStr">
        <is>
          <t>skill_name_middle92301</t>
        </is>
      </c>
    </row>
    <row r="696">
      <c r="A696" t="inlineStr">
        <is>
          <t>Armadilha Venenosa</t>
        </is>
      </c>
      <c r="B696" s="2" t="inlineStr">
        <is>
          <t>f</t>
        </is>
      </c>
      <c r="C696" s="2" t="inlineStr">
        <is>
          <t>s</t>
        </is>
      </c>
      <c r="D696" t="inlineStr">
        <is>
          <t>毒困</t>
        </is>
      </c>
      <c r="E696" t="inlineStr">
        <is>
          <t>Poisonous Trap</t>
        </is>
      </c>
      <c r="F696" t="inlineStr">
        <is>
          <t>skill_name_middle92311</t>
        </is>
      </c>
    </row>
    <row r="697">
      <c r="A697" t="inlineStr">
        <is>
          <t>Esvoaçar</t>
        </is>
      </c>
      <c r="B697" s="2" t="inlineStr">
        <is>
          <t>m</t>
        </is>
      </c>
      <c r="C697" s="2" t="inlineStr">
        <is>
          <t>s</t>
        </is>
      </c>
      <c r="D697" t="inlineStr">
        <is>
          <t>掠影</t>
        </is>
      </c>
      <c r="E697" t="inlineStr">
        <is>
          <t>Flit</t>
        </is>
      </c>
      <c r="F697" t="inlineStr">
        <is>
          <t>skill_name_middle92321</t>
        </is>
      </c>
    </row>
    <row r="698">
      <c r="A698" t="inlineStr">
        <is>
          <t>Roçar</t>
        </is>
      </c>
      <c r="B698" s="2" t="inlineStr">
        <is>
          <t>m</t>
        </is>
      </c>
      <c r="C698" s="2" t="inlineStr">
        <is>
          <t>s</t>
        </is>
      </c>
      <c r="D698" t="inlineStr">
        <is>
          <t>浮光</t>
        </is>
      </c>
      <c r="E698" t="inlineStr">
        <is>
          <t>Skim</t>
        </is>
      </c>
      <c r="F698" t="inlineStr">
        <is>
          <t>skill_name_middle92331</t>
        </is>
      </c>
    </row>
    <row r="699">
      <c r="A699" t="inlineStr">
        <is>
          <t>Atração Arcana</t>
        </is>
      </c>
      <c r="B699" s="2" t="inlineStr">
        <is>
          <t>f</t>
        </is>
      </c>
      <c r="C699" s="2" t="inlineStr">
        <is>
          <t>s</t>
        </is>
      </c>
      <c r="D699" t="inlineStr">
        <is>
          <t>玄引</t>
        </is>
      </c>
      <c r="E699" t="inlineStr">
        <is>
          <t>Arcane Attraction</t>
        </is>
      </c>
      <c r="F699" t="inlineStr">
        <is>
          <t>skill_name_middle92341</t>
        </is>
      </c>
    </row>
    <row r="700">
      <c r="A700" t="inlineStr">
        <is>
          <t>Silêncio</t>
        </is>
      </c>
      <c r="B700" s="2" t="inlineStr">
        <is>
          <t>m</t>
        </is>
      </c>
      <c r="C700" s="2" t="inlineStr">
        <is>
          <t>s</t>
        </is>
      </c>
      <c r="D700" t="inlineStr">
        <is>
          <t>言默</t>
        </is>
      </c>
      <c r="E700" t="inlineStr">
        <is>
          <t>Silence</t>
        </is>
      </c>
      <c r="F700" t="inlineStr">
        <is>
          <t>skill_name_middle92351</t>
        </is>
      </c>
    </row>
    <row r="701">
      <c r="A701" t="inlineStr">
        <is>
          <t>Salto do Abismo</t>
        </is>
      </c>
      <c r="B701" s="2" t="inlineStr">
        <is>
          <t>m</t>
        </is>
      </c>
      <c r="C701" s="2" t="inlineStr">
        <is>
          <t>s</t>
        </is>
      </c>
      <c r="D701" t="inlineStr">
        <is>
          <t>腾渊</t>
        </is>
      </c>
      <c r="E701" t="inlineStr">
        <is>
          <t>Abyss Leap</t>
        </is>
      </c>
      <c r="F701" t="inlineStr">
        <is>
          <t>skill_name_middle92361</t>
        </is>
      </c>
    </row>
    <row r="702">
      <c r="A702" t="inlineStr">
        <is>
          <t>Trovão Colossal</t>
        </is>
      </c>
      <c r="B702" s="2" t="inlineStr">
        <is>
          <t>m</t>
        </is>
      </c>
      <c r="C702" s="2" t="inlineStr">
        <is>
          <t>s</t>
        </is>
      </c>
      <c r="D702" t="inlineStr">
        <is>
          <t>万钧</t>
        </is>
      </c>
      <c r="E702" t="inlineStr">
        <is>
          <t>Tonitrus</t>
        </is>
      </c>
      <c r="F702" t="inlineStr">
        <is>
          <t>skill_name_middle92371</t>
        </is>
      </c>
    </row>
    <row r="703">
      <c r="A703" t="inlineStr">
        <is>
          <t>Alma Separada</t>
        </is>
      </c>
      <c r="B703" s="2" t="inlineStr">
        <is>
          <t>f</t>
        </is>
      </c>
      <c r="C703" s="2" t="inlineStr">
        <is>
          <t>s</t>
        </is>
      </c>
      <c r="D703" t="inlineStr">
        <is>
          <t>别魂</t>
        </is>
      </c>
      <c r="E703" t="inlineStr">
        <is>
          <t>Parted Soul</t>
        </is>
      </c>
      <c r="F703" t="inlineStr">
        <is>
          <t>skill_name_middle92381</t>
        </is>
      </c>
    </row>
    <row r="704">
      <c r="A704" t="inlineStr">
        <is>
          <t>Sonho de Partida</t>
        </is>
      </c>
      <c r="B704" s="2" t="inlineStr">
        <is>
          <t>m</t>
        </is>
      </c>
      <c r="C704" s="2" t="inlineStr">
        <is>
          <t>s</t>
        </is>
      </c>
      <c r="D704" t="inlineStr">
        <is>
          <t>离梦</t>
        </is>
      </c>
      <c r="E704" t="inlineStr">
        <is>
          <t>Dream of Departure</t>
        </is>
      </c>
      <c r="F704" t="inlineStr">
        <is>
          <t>skill_name_middle92391</t>
        </is>
      </c>
    </row>
  </sheetData>
  <dataValidations count="2">
    <dataValidation sqref="B2:B704" showDropDown="0" showInputMessage="0" showErrorMessage="0" allowBlank="0" type="list">
      <formula1>"m,f"</formula1>
    </dataValidation>
    <dataValidation sqref="C2:C704" showDropDown="0" showInputMessage="0" showErrorMessage="0" allowBlank="0" type="list">
      <formula1>"s,p"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4"/>
  <sheetViews>
    <sheetView tabSelected="1" workbookViewId="0">
      <pane ySplit="1" topLeftCell="A7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44" customWidth="1" min="3" max="3"/>
    <col width="8" customWidth="1" min="4" max="5"/>
    <col width="32" customWidth="1" min="6" max="6"/>
    <col width="22" customWidth="1" min="7" max="7"/>
    <col width="18" customWidth="1" min="8" max="8"/>
    <col width="22" customWidth="1" min="9" max="9"/>
  </cols>
  <sheetData>
    <row r="1" ht="30" customHeight="1">
      <c r="A1" s="1" t="inlineStr">
        <is>
          <t>Como fica no jogo</t>
        </is>
      </c>
      <c r="B1" s="1" t="inlineStr">
        <is>
          <t>Hanzi</t>
        </is>
      </c>
      <c r="C1" s="1" t="inlineStr">
        <is>
          <t>Inglês do jogo</t>
        </is>
      </c>
      <c r="D1" s="1" t="inlineStr">
        <is>
          <t>Peça 1</t>
        </is>
      </c>
      <c r="E1" s="1" t="inlineStr">
        <is>
          <t>Peça 2</t>
        </is>
      </c>
      <c r="F1" s="1" t="inlineStr">
        <is>
          <t>Nome-base</t>
        </is>
      </c>
      <c r="G1" s="1" t="inlineStr">
        <is>
          <t>aux: peça 1</t>
        </is>
      </c>
      <c r="H1" s="1" t="inlineStr">
        <is>
          <t>aux: adjetivo</t>
        </is>
      </c>
      <c r="I1" s="1" t="inlineStr">
        <is>
          <t>aux: adjetivo concordado</t>
        </is>
      </c>
    </row>
    <row r="2">
      <c r="A2" s="3">
        <f>IF(OR(G2="",I2=""),"(falta traduzir)",F2&amp;" "&amp;I2&amp;" "&amp;G2)</f>
        <v/>
      </c>
      <c r="B2" t="inlineStr">
        <is>
          <t>仙磐水灵术</t>
        </is>
      </c>
      <c r="C2" t="inlineStr">
        <is>
          <t>Sloth's Solid Água Espiritual</t>
        </is>
      </c>
      <c r="D2" t="n">
        <v>127</v>
      </c>
      <c r="E2" t="n">
        <v>369</v>
      </c>
      <c r="F2" t="inlineStr">
        <is>
          <t>Água Espiritual</t>
        </is>
      </c>
      <c r="G2" s="4">
        <f>INDEX('Peça 1'!F:F,MATCH(D2,'Peça 1'!A:A,0))&amp;""</f>
        <v/>
      </c>
      <c r="H2" s="4">
        <f>IF(AND(INDEX('Nomes-base'!B:B,MATCH(F2,'Nomes-base'!A:A,0))="f",INDEX('Peça 2'!G:G,MATCH(E2,'Peça 2'!A:A,0))&amp;""&lt;&gt;""),INDEX('Peça 2'!G:G,MATCH(E2,'Peça 2'!A:A,0))&amp;"",INDEX('Peça 2'!F:F,MATCH(E2,'Peça 2'!A:A,0))&amp;"")</f>
        <v/>
      </c>
      <c r="I2" s="4">
        <f>IF(OR(H2="",ISNUMBER(SEARCH(" ",H2)),INDEX('Nomes-base'!C:C,MATCH(F2,'Nomes-base'!A:A,0))&lt;&gt;"p"),H2,IF(RIGHT(H2,1)="s",H2,IF(RIGHT(H2,1)="l",LEFT(H2,LEN(H2)-1)&amp;"is",IF(OR(RIGHT(H2,1)="r",RIGHT(H2,1)="z"),H2&amp;"es",IF(RIGHT(H2,1)="m",LEFT(H2,LEN(H2)-1)&amp;"ns",H2&amp;"s")))))</f>
        <v/>
      </c>
    </row>
    <row r="3">
      <c r="A3" s="3">
        <f>IF(OR(G3="",I3=""),"(falta traduzir)",F3&amp;" "&amp;I3&amp;" "&amp;G3)</f>
        <v/>
      </c>
      <c r="B3" t="inlineStr">
        <is>
          <t>嗜落影</t>
        </is>
      </c>
      <c r="C3" t="inlineStr">
        <is>
          <t>Sacrifice's Diving Sombra</t>
        </is>
      </c>
      <c r="D3" t="n">
        <v>140</v>
      </c>
      <c r="E3" t="n">
        <v>265</v>
      </c>
      <c r="F3" t="inlineStr">
        <is>
          <t>Sombra</t>
        </is>
      </c>
      <c r="G3" s="4">
        <f>INDEX('Peça 1'!F:F,MATCH(D3,'Peça 1'!A:A,0))&amp;""</f>
        <v/>
      </c>
      <c r="H3" s="4">
        <f>IF(AND(INDEX('Nomes-base'!B:B,MATCH(F3,'Nomes-base'!A:A,0))="f",INDEX('Peça 2'!G:G,MATCH(E3,'Peça 2'!A:A,0))&amp;""&lt;&gt;""),INDEX('Peça 2'!G:G,MATCH(E3,'Peça 2'!A:A,0))&amp;"",INDEX('Peça 2'!F:F,MATCH(E3,'Peça 2'!A:A,0))&amp;"")</f>
        <v/>
      </c>
      <c r="I3" s="4">
        <f>IF(OR(H3="",ISNUMBER(SEARCH(" ",H3)),INDEX('Nomes-base'!C:C,MATCH(F3,'Nomes-base'!A:A,0))&lt;&gt;"p"),H3,IF(RIGHT(H3,1)="s",H3,IF(RIGHT(H3,1)="l",LEFT(H3,LEN(H3)-1)&amp;"is",IF(OR(RIGHT(H3,1)="r",RIGHT(H3,1)="z"),H3&amp;"es",IF(RIGHT(H3,1)="m",LEFT(H3,LEN(H3)-1)&amp;"ns",H3&amp;"s")))))</f>
        <v/>
      </c>
    </row>
    <row r="4">
      <c r="A4" s="3">
        <f>IF(OR(G4="",I4=""),"(falta traduzir)",F4&amp;" "&amp;I4&amp;" "&amp;G4)</f>
        <v/>
      </c>
      <c r="B4" t="inlineStr">
        <is>
          <t>青雾冰刺术</t>
        </is>
      </c>
      <c r="C4" t="inlineStr">
        <is>
          <t>Cobalt's Misty Pingente de Gelo</t>
        </is>
      </c>
      <c r="D4" t="n">
        <v>49</v>
      </c>
      <c r="E4" t="n">
        <v>281</v>
      </c>
      <c r="F4" t="inlineStr">
        <is>
          <t>Pingente de Gelo</t>
        </is>
      </c>
      <c r="G4" s="4">
        <f>INDEX('Peça 1'!F:F,MATCH(D4,'Peça 1'!A:A,0))&amp;""</f>
        <v/>
      </c>
      <c r="H4" s="4">
        <f>IF(AND(INDEX('Nomes-base'!B:B,MATCH(F4,'Nomes-base'!A:A,0))="f",INDEX('Peça 2'!G:G,MATCH(E4,'Peça 2'!A:A,0))&amp;""&lt;&gt;""),INDEX('Peça 2'!G:G,MATCH(E4,'Peça 2'!A:A,0))&amp;"",INDEX('Peça 2'!F:F,MATCH(E4,'Peça 2'!A:A,0))&amp;"")</f>
        <v/>
      </c>
      <c r="I4" s="4">
        <f>IF(OR(H4="",ISNUMBER(SEARCH(" ",H4)),INDEX('Nomes-base'!C:C,MATCH(F4,'Nomes-base'!A:A,0))&lt;&gt;"p"),H4,IF(RIGHT(H4,1)="s",H4,IF(RIGHT(H4,1)="l",LEFT(H4,LEN(H4)-1)&amp;"is",IF(OR(RIGHT(H4,1)="r",RIGHT(H4,1)="z"),H4&amp;"es",IF(RIGHT(H4,1)="m",LEFT(H4,LEN(H4)-1)&amp;"ns",H4&amp;"s")))))</f>
        <v/>
      </c>
    </row>
    <row r="5">
      <c r="A5" s="3">
        <f>IF(OR(G5="",I5=""),"(falta traduzir)",F5&amp;" "&amp;I5&amp;" "&amp;G5)</f>
        <v/>
      </c>
      <c r="B5" t="inlineStr">
        <is>
          <t>一落冰天眼</t>
        </is>
      </c>
      <c r="C5" t="inlineStr">
        <is>
          <t>Wafter's Diving Olhar Gélido Celestial</t>
        </is>
      </c>
      <c r="D5" t="n">
        <v>167</v>
      </c>
      <c r="E5" t="n">
        <v>265</v>
      </c>
      <c r="F5" t="inlineStr">
        <is>
          <t>Olhar Gélido Celestial</t>
        </is>
      </c>
      <c r="G5" s="4">
        <f>INDEX('Peça 1'!F:F,MATCH(D5,'Peça 1'!A:A,0))&amp;""</f>
        <v/>
      </c>
      <c r="H5" s="4">
        <f>IF(AND(INDEX('Nomes-base'!B:B,MATCH(F5,'Nomes-base'!A:A,0))="f",INDEX('Peça 2'!G:G,MATCH(E5,'Peça 2'!A:A,0))&amp;""&lt;&gt;""),INDEX('Peça 2'!G:G,MATCH(E5,'Peça 2'!A:A,0))&amp;"",INDEX('Peça 2'!F:F,MATCH(E5,'Peça 2'!A:A,0))&amp;"")</f>
        <v/>
      </c>
      <c r="I5" s="4">
        <f>IF(OR(H5="",ISNUMBER(SEARCH(" ",H5)),INDEX('Nomes-base'!C:C,MATCH(F5,'Nomes-base'!A:A,0))&lt;&gt;"p"),H5,IF(RIGHT(H5,1)="s",H5,IF(RIGHT(H5,1)="l",LEFT(H5,LEN(H5)-1)&amp;"is",IF(OR(RIGHT(H5,1)="r",RIGHT(H5,1)="z"),H5&amp;"es",IF(RIGHT(H5,1)="m",LEFT(H5,LEN(H5)-1)&amp;"ns",H5&amp;"s")))))</f>
        <v/>
      </c>
    </row>
    <row r="6">
      <c r="A6" s="3">
        <f>IF(OR(G6="",I6=""),"(falta traduzir)",F6&amp;" "&amp;I6&amp;" "&amp;G6)</f>
        <v/>
      </c>
      <c r="B6" t="inlineStr">
        <is>
          <t>惊鼎经</t>
        </is>
      </c>
      <c r="C6" t="inlineStr">
        <is>
          <t>Fear's Vesseled Sutra</t>
        </is>
      </c>
      <c r="D6" t="n">
        <v>106</v>
      </c>
      <c r="E6" t="n">
        <v>305</v>
      </c>
      <c r="F6" t="inlineStr">
        <is>
          <t>Sutra</t>
        </is>
      </c>
      <c r="G6" s="4">
        <f>INDEX('Peça 1'!F:F,MATCH(D6,'Peça 1'!A:A,0))&amp;""</f>
        <v/>
      </c>
      <c r="H6" s="4">
        <f>IF(AND(INDEX('Nomes-base'!B:B,MATCH(F6,'Nomes-base'!A:A,0))="f",INDEX('Peça 2'!G:G,MATCH(E6,'Peça 2'!A:A,0))&amp;""&lt;&gt;""),INDEX('Peça 2'!G:G,MATCH(E6,'Peça 2'!A:A,0))&amp;"",INDEX('Peça 2'!F:F,MATCH(E6,'Peça 2'!A:A,0))&amp;"")</f>
        <v/>
      </c>
      <c r="I6" s="4">
        <f>IF(OR(H6="",ISNUMBER(SEARCH(" ",H6)),INDEX('Nomes-base'!C:C,MATCH(F6,'Nomes-base'!A:A,0))&lt;&gt;"p"),H6,IF(RIGHT(H6,1)="s",H6,IF(RIGHT(H6,1)="l",LEFT(H6,LEN(H6)-1)&amp;"is",IF(OR(RIGHT(H6,1)="r",RIGHT(H6,1)="z"),H6&amp;"es",IF(RIGHT(H6,1)="m",LEFT(H6,LEN(H6)-1)&amp;"ns",H6&amp;"s")))))</f>
        <v/>
      </c>
    </row>
    <row r="7">
      <c r="A7" s="3">
        <f>IF(OR(G7="",I7=""),"(falta traduzir)",F7&amp;" "&amp;I7&amp;" "&amp;G7)</f>
        <v/>
      </c>
      <c r="B7" t="inlineStr">
        <is>
          <t>白血劲</t>
        </is>
      </c>
      <c r="C7" t="inlineStr">
        <is>
          <t>Washer's Blooded Movimentação</t>
        </is>
      </c>
      <c r="D7" t="n">
        <v>92</v>
      </c>
      <c r="E7" t="n">
        <v>225</v>
      </c>
      <c r="F7" t="inlineStr">
        <is>
          <t>Movimentação</t>
        </is>
      </c>
      <c r="G7" s="4">
        <f>INDEX('Peça 1'!F:F,MATCH(D7,'Peça 1'!A:A,0))&amp;""</f>
        <v/>
      </c>
      <c r="H7" s="4">
        <f>IF(AND(INDEX('Nomes-base'!B:B,MATCH(F7,'Nomes-base'!A:A,0))="f",INDEX('Peça 2'!G:G,MATCH(E7,'Peça 2'!A:A,0))&amp;""&lt;&gt;""),INDEX('Peça 2'!G:G,MATCH(E7,'Peça 2'!A:A,0))&amp;"",INDEX('Peça 2'!F:F,MATCH(E7,'Peça 2'!A:A,0))&amp;"")</f>
        <v/>
      </c>
      <c r="I7" s="4">
        <f>IF(OR(H7="",ISNUMBER(SEARCH(" ",H7)),INDEX('Nomes-base'!C:C,MATCH(F7,'Nomes-base'!A:A,0))&lt;&gt;"p"),H7,IF(RIGHT(H7,1)="s",H7,IF(RIGHT(H7,1)="l",LEFT(H7,LEN(H7)-1)&amp;"is",IF(OR(RIGHT(H7,1)="r",RIGHT(H7,1)="z"),H7&amp;"es",IF(RIGHT(H7,1)="m",LEFT(H7,LEN(H7)-1)&amp;"ns",H7&amp;"s")))))</f>
        <v/>
      </c>
    </row>
    <row r="8">
      <c r="A8" s="3">
        <f>IF(OR(G8="",I8=""),"(falta traduzir)",F8&amp;" "&amp;I8&amp;" "&amp;G8)</f>
        <v/>
      </c>
      <c r="B8" t="inlineStr">
        <is>
          <t>飞战式</t>
        </is>
      </c>
      <c r="C8" t="inlineStr">
        <is>
          <t>Hoverer's Warring Técnica</t>
        </is>
      </c>
      <c r="D8" t="n">
        <v>1</v>
      </c>
      <c r="E8" t="n">
        <v>345</v>
      </c>
      <c r="F8" t="inlineStr">
        <is>
          <t>Técnica</t>
        </is>
      </c>
      <c r="G8" s="4">
        <f>INDEX('Peça 1'!F:F,MATCH(D8,'Peça 1'!A:A,0))&amp;""</f>
        <v/>
      </c>
      <c r="H8" s="4">
        <f>IF(AND(INDEX('Nomes-base'!B:B,MATCH(F8,'Nomes-base'!A:A,0))="f",INDEX('Peça 2'!G:G,MATCH(E8,'Peça 2'!A:A,0))&amp;""&lt;&gt;""),INDEX('Peça 2'!G:G,MATCH(E8,'Peça 2'!A:A,0))&amp;"",INDEX('Peça 2'!F:F,MATCH(E8,'Peça 2'!A:A,0))&amp;"")</f>
        <v/>
      </c>
      <c r="I8" s="4">
        <f>IF(OR(H8="",ISNUMBER(SEARCH(" ",H8)),INDEX('Nomes-base'!C:C,MATCH(F8,'Nomes-base'!A:A,0))&lt;&gt;"p"),H8,IF(RIGHT(H8,1)="s",H8,IF(RIGHT(H8,1)="l",LEFT(H8,LEN(H8)-1)&amp;"is",IF(OR(RIGHT(H8,1)="r",RIGHT(H8,1)="z"),H8&amp;"es",IF(RIGHT(H8,1)="m",LEFT(H8,LEN(H8)-1)&amp;"ns",H8&amp;"s")))))</f>
        <v/>
      </c>
    </row>
    <row r="9">
      <c r="A9" s="3">
        <f>IF(OR(G9="",I9=""),"(falta traduzir)",F9&amp;" "&amp;I9&amp;" "&amp;G9)</f>
        <v/>
      </c>
      <c r="B9" t="inlineStr">
        <is>
          <t>御鸿诀</t>
        </is>
      </c>
      <c r="C9" t="inlineStr">
        <is>
          <t>Wielder's Cardinal Guia</t>
        </is>
      </c>
      <c r="D9" t="n">
        <v>65</v>
      </c>
      <c r="E9" t="n">
        <v>393</v>
      </c>
      <c r="F9" t="inlineStr">
        <is>
          <t>Guia</t>
        </is>
      </c>
      <c r="G9" s="4">
        <f>INDEX('Peça 1'!F:F,MATCH(D9,'Peça 1'!A:A,0))&amp;""</f>
        <v/>
      </c>
      <c r="H9" s="4">
        <f>IF(AND(INDEX('Nomes-base'!B:B,MATCH(F9,'Nomes-base'!A:A,0))="f",INDEX('Peça 2'!G:G,MATCH(E9,'Peça 2'!A:A,0))&amp;""&lt;&gt;""),INDEX('Peça 2'!G:G,MATCH(E9,'Peça 2'!A:A,0))&amp;"",INDEX('Peça 2'!F:F,MATCH(E9,'Peça 2'!A:A,0))&amp;"")</f>
        <v/>
      </c>
      <c r="I9" s="4">
        <f>IF(OR(H9="",ISNUMBER(SEARCH(" ",H9)),INDEX('Nomes-base'!C:C,MATCH(F9,'Nomes-base'!A:A,0))&lt;&gt;"p"),H9,IF(RIGHT(H9,1)="s",H9,IF(RIGHT(H9,1)="l",LEFT(H9,LEN(H9)-1)&amp;"is",IF(OR(RIGHT(H9,1)="r",RIGHT(H9,1)="z"),H9&amp;"es",IF(RIGHT(H9,1)="m",LEFT(H9,LEN(H9)-1)&amp;"ns",H9&amp;"s")))))</f>
        <v/>
      </c>
    </row>
    <row r="10">
      <c r="A10" s="3">
        <f>IF(OR(G10="",I10=""),"(falta traduzir)",F10&amp;" "&amp;I10&amp;" "&amp;G10)</f>
        <v/>
      </c>
      <c r="B10" t="inlineStr">
        <is>
          <t>六磐录</t>
        </is>
      </c>
      <c r="C10" t="inlineStr">
        <is>
          <t>Integrity's Solid Compêndio</t>
        </is>
      </c>
      <c r="D10" t="n">
        <v>149</v>
      </c>
      <c r="E10" t="n">
        <v>369</v>
      </c>
      <c r="F10" t="inlineStr">
        <is>
          <t>Compêndio</t>
        </is>
      </c>
      <c r="G10" s="4">
        <f>INDEX('Peça 1'!F:F,MATCH(D10,'Peça 1'!A:A,0))&amp;""</f>
        <v/>
      </c>
      <c r="H10" s="4">
        <f>IF(AND(INDEX('Nomes-base'!B:B,MATCH(F10,'Nomes-base'!A:A,0))="f",INDEX('Peça 2'!G:G,MATCH(E10,'Peça 2'!A:A,0))&amp;""&lt;&gt;""),INDEX('Peça 2'!G:G,MATCH(E10,'Peça 2'!A:A,0))&amp;"",INDEX('Peça 2'!F:F,MATCH(E10,'Peça 2'!A:A,0))&amp;"")</f>
        <v/>
      </c>
      <c r="I10" s="4">
        <f>IF(OR(H10="",ISNUMBER(SEARCH(" ",H10)),INDEX('Nomes-base'!C:C,MATCH(F10,'Nomes-base'!A:A,0))&lt;&gt;"p"),H10,IF(RIGHT(H10,1)="s",H10,IF(RIGHT(H10,1)="l",LEFT(H10,LEN(H10)-1)&amp;"is",IF(OR(RIGHT(H10,1)="r",RIGHT(H10,1)="z"),H10&amp;"es",IF(RIGHT(H10,1)="m",LEFT(H10,LEN(H10)-1)&amp;"ns",H10&amp;"s")))))</f>
        <v/>
      </c>
    </row>
    <row r="11">
      <c r="A11" s="3">
        <f>IF(OR(G11="",I11=""),"(falta traduzir)",F11&amp;" "&amp;I11&amp;" "&amp;G11)</f>
        <v/>
      </c>
      <c r="B11" t="inlineStr">
        <is>
          <t>遮战秘卷</t>
        </is>
      </c>
      <c r="C11" t="inlineStr">
        <is>
          <t>Blocker's Warring Manual Secreto</t>
        </is>
      </c>
      <c r="D11" t="n">
        <v>108</v>
      </c>
      <c r="E11" t="n">
        <v>345</v>
      </c>
      <c r="F11" t="inlineStr">
        <is>
          <t>Manual Secreto</t>
        </is>
      </c>
      <c r="G11" s="4">
        <f>INDEX('Peça 1'!F:F,MATCH(D11,'Peça 1'!A:A,0))&amp;""</f>
        <v/>
      </c>
      <c r="H11" s="4">
        <f>IF(AND(INDEX('Nomes-base'!B:B,MATCH(F11,'Nomes-base'!A:A,0))="f",INDEX('Peça 2'!G:G,MATCH(E11,'Peça 2'!A:A,0))&amp;""&lt;&gt;""),INDEX('Peça 2'!G:G,MATCH(E11,'Peça 2'!A:A,0))&amp;"",INDEX('Peça 2'!F:F,MATCH(E11,'Peça 2'!A:A,0))&amp;"")</f>
        <v/>
      </c>
      <c r="I11" s="4">
        <f>IF(OR(H11="",ISNUMBER(SEARCH(" ",H11)),INDEX('Nomes-base'!C:C,MATCH(F11,'Nomes-base'!A:A,0))&lt;&gt;"p"),H11,IF(RIGHT(H11,1)="s",H11,IF(RIGHT(H11,1)="l",LEFT(H11,LEN(H11)-1)&amp;"is",IF(OR(RIGHT(H11,1)="r",RIGHT(H11,1)="z"),H11&amp;"es",IF(RIGHT(H11,1)="m",LEFT(H11,LEN(H11)-1)&amp;"ns",H11&amp;"s")))))</f>
        <v/>
      </c>
    </row>
    <row r="12">
      <c r="A12" s="3">
        <f>IF(OR(G12="",I12=""),"(falta traduzir)",F12&amp;" "&amp;I12&amp;" "&amp;G12)</f>
        <v/>
      </c>
      <c r="B12" t="inlineStr">
        <is>
          <t>赤封式</t>
        </is>
      </c>
      <c r="C12" t="inlineStr">
        <is>
          <t>Gore's Signing Técnica</t>
        </is>
      </c>
      <c r="D12" t="n">
        <v>50</v>
      </c>
      <c r="E12" t="n">
        <v>337</v>
      </c>
      <c r="F12" t="inlineStr">
        <is>
          <t>Técnica</t>
        </is>
      </c>
      <c r="G12" s="4">
        <f>INDEX('Peça 1'!F:F,MATCH(D12,'Peça 1'!A:A,0))&amp;""</f>
        <v/>
      </c>
      <c r="H12" s="4">
        <f>IF(AND(INDEX('Nomes-base'!B:B,MATCH(F12,'Nomes-base'!A:A,0))="f",INDEX('Peça 2'!G:G,MATCH(E12,'Peça 2'!A:A,0))&amp;""&lt;&gt;""),INDEX('Peça 2'!G:G,MATCH(E12,'Peça 2'!A:A,0))&amp;"",INDEX('Peça 2'!F:F,MATCH(E12,'Peça 2'!A:A,0))&amp;"")</f>
        <v/>
      </c>
      <c r="I12" s="4">
        <f>IF(OR(H12="",ISNUMBER(SEARCH(" ",H12)),INDEX('Nomes-base'!C:C,MATCH(F12,'Nomes-base'!A:A,0))&lt;&gt;"p"),H12,IF(RIGHT(H12,1)="s",H12,IF(RIGHT(H12,1)="l",LEFT(H12,LEN(H12)-1)&amp;"is",IF(OR(RIGHT(H12,1)="r",RIGHT(H12,1)="z"),H12&amp;"es",IF(RIGHT(H12,1)="m",LEFT(H12,LEN(H12)-1)&amp;"ns",H12&amp;"s")))))</f>
        <v/>
      </c>
    </row>
    <row r="13">
      <c r="A13" s="3">
        <f>IF(OR(G13="",I13=""),"(falta traduzir)",F13&amp;" "&amp;I13&amp;" "&amp;G13)</f>
        <v/>
      </c>
      <c r="B13" t="inlineStr">
        <is>
          <t>正瑕式</t>
        </is>
      </c>
      <c r="C13" t="inlineStr">
        <is>
          <t>Chao's Flawed Técnica</t>
        </is>
      </c>
      <c r="D13" t="n">
        <v>183</v>
      </c>
      <c r="E13" t="n">
        <v>273</v>
      </c>
      <c r="F13" t="inlineStr">
        <is>
          <t>Técnica</t>
        </is>
      </c>
      <c r="G13" s="4">
        <f>INDEX('Peça 1'!F:F,MATCH(D13,'Peça 1'!A:A,0))&amp;""</f>
        <v/>
      </c>
      <c r="H13" s="4">
        <f>IF(AND(INDEX('Nomes-base'!B:B,MATCH(F13,'Nomes-base'!A:A,0))="f",INDEX('Peça 2'!G:G,MATCH(E13,'Peça 2'!A:A,0))&amp;""&lt;&gt;""),INDEX('Peça 2'!G:G,MATCH(E13,'Peça 2'!A:A,0))&amp;"",INDEX('Peça 2'!F:F,MATCH(E13,'Peça 2'!A:A,0))&amp;"")</f>
        <v/>
      </c>
      <c r="I13" s="4">
        <f>IF(OR(H13="",ISNUMBER(SEARCH(" ",H13)),INDEX('Nomes-base'!C:C,MATCH(F13,'Nomes-base'!A:A,0))&lt;&gt;"p"),H13,IF(RIGHT(H13,1)="s",H13,IF(RIGHT(H13,1)="l",LEFT(H13,LEN(H13)-1)&amp;"is",IF(OR(RIGHT(H13,1)="r",RIGHT(H13,1)="z"),H13&amp;"es",IF(RIGHT(H13,1)="m",LEFT(H13,LEN(H13)-1)&amp;"ns",H13&amp;"s")))))</f>
        <v/>
      </c>
    </row>
    <row r="14">
      <c r="A14" s="3">
        <f>IF(OR(G14="",I14=""),"(falta traduzir)",F14&amp;" "&amp;I14&amp;" "&amp;G14)</f>
        <v/>
      </c>
      <c r="B14" t="inlineStr">
        <is>
          <t>万鸿式</t>
        </is>
      </c>
      <c r="C14" t="inlineStr">
        <is>
          <t>Ashen's Cardinal Técnica</t>
        </is>
      </c>
      <c r="D14" t="n">
        <v>169</v>
      </c>
      <c r="E14" t="n">
        <v>393</v>
      </c>
      <c r="F14" t="inlineStr">
        <is>
          <t>Técnica</t>
        </is>
      </c>
      <c r="G14" s="4">
        <f>INDEX('Peça 1'!F:F,MATCH(D14,'Peça 1'!A:A,0))&amp;""</f>
        <v/>
      </c>
      <c r="H14" s="4">
        <f>IF(AND(INDEX('Nomes-base'!B:B,MATCH(F14,'Nomes-base'!A:A,0))="f",INDEX('Peça 2'!G:G,MATCH(E14,'Peça 2'!A:A,0))&amp;""&lt;&gt;""),INDEX('Peça 2'!G:G,MATCH(E14,'Peça 2'!A:A,0))&amp;"",INDEX('Peça 2'!F:F,MATCH(E14,'Peça 2'!A:A,0))&amp;"")</f>
        <v/>
      </c>
      <c r="I14" s="4">
        <f>IF(OR(H14="",ISNUMBER(SEARCH(" ",H14)),INDEX('Nomes-base'!C:C,MATCH(F14,'Nomes-base'!A:A,0))&lt;&gt;"p"),H14,IF(RIGHT(H14,1)="s",H14,IF(RIGHT(H14,1)="l",LEFT(H14,LEN(H14)-1)&amp;"is",IF(OR(RIGHT(H14,1)="r",RIGHT(H14,1)="z"),H14&amp;"es",IF(RIGHT(H14,1)="m",LEFT(H14,LEN(H14)-1)&amp;"ns",H14&amp;"s")))))</f>
        <v/>
      </c>
    </row>
    <row r="15">
      <c r="A15" s="3">
        <f>IF(OR(G15="",I15=""),"(falta traduzir)",F15&amp;" "&amp;I15&amp;" "&amp;G15)</f>
        <v/>
      </c>
      <c r="B15" t="inlineStr">
        <is>
          <t>锁雾录</t>
        </is>
      </c>
      <c r="C15" t="inlineStr">
        <is>
          <t>Chainer's Misty Compêndio</t>
        </is>
      </c>
      <c r="D15" t="n">
        <v>64</v>
      </c>
      <c r="E15" t="n">
        <v>281</v>
      </c>
      <c r="F15" t="inlineStr">
        <is>
          <t>Compêndio</t>
        </is>
      </c>
      <c r="G15" s="4">
        <f>INDEX('Peça 1'!F:F,MATCH(D15,'Peça 1'!A:A,0))&amp;""</f>
        <v/>
      </c>
      <c r="H15" s="4">
        <f>IF(AND(INDEX('Nomes-base'!B:B,MATCH(F15,'Nomes-base'!A:A,0))="f",INDEX('Peça 2'!G:G,MATCH(E15,'Peça 2'!A:A,0))&amp;""&lt;&gt;""),INDEX('Peça 2'!G:G,MATCH(E15,'Peça 2'!A:A,0))&amp;"",INDEX('Peça 2'!F:F,MATCH(E15,'Peça 2'!A:A,0))&amp;"")</f>
        <v/>
      </c>
      <c r="I15" s="4">
        <f>IF(OR(H15="",ISNUMBER(SEARCH(" ",H15)),INDEX('Nomes-base'!C:C,MATCH(F15,'Nomes-base'!A:A,0))&lt;&gt;"p"),H15,IF(RIGHT(H15,1)="s",H15,IF(RIGHT(H15,1)="l",LEFT(H15,LEN(H15)-1)&amp;"is",IF(OR(RIGHT(H15,1)="r",RIGHT(H15,1)="z"),H15&amp;"es",IF(RIGHT(H15,1)="m",LEFT(H15,LEN(H15)-1)&amp;"ns",H15&amp;"s")))))</f>
        <v/>
      </c>
    </row>
    <row r="16">
      <c r="A16" s="3">
        <f>IF(OR(G16="",I16=""),"(falta traduzir)",F16&amp;" "&amp;I16&amp;" "&amp;G16)</f>
        <v/>
      </c>
      <c r="B16" t="inlineStr">
        <is>
          <t>炽落隐</t>
        </is>
      </c>
      <c r="C16" t="inlineStr">
        <is>
          <t>Flare's Diving Furtividade</t>
        </is>
      </c>
      <c r="D16" t="n">
        <v>61</v>
      </c>
      <c r="E16" t="n">
        <v>265</v>
      </c>
      <c r="F16" t="inlineStr">
        <is>
          <t>Furtividade</t>
        </is>
      </c>
      <c r="G16" s="4">
        <f>INDEX('Peça 1'!F:F,MATCH(D16,'Peça 1'!A:A,0))&amp;""</f>
        <v/>
      </c>
      <c r="H16" s="4">
        <f>IF(AND(INDEX('Nomes-base'!B:B,MATCH(F16,'Nomes-base'!A:A,0))="f",INDEX('Peça 2'!G:G,MATCH(E16,'Peça 2'!A:A,0))&amp;""&lt;&gt;""),INDEX('Peça 2'!G:G,MATCH(E16,'Peça 2'!A:A,0))&amp;"",INDEX('Peça 2'!F:F,MATCH(E16,'Peça 2'!A:A,0))&amp;"")</f>
        <v/>
      </c>
      <c r="I16" s="4">
        <f>IF(OR(H16="",ISNUMBER(SEARCH(" ",H16)),INDEX('Nomes-base'!C:C,MATCH(F16,'Nomes-base'!A:A,0))&lt;&gt;"p"),H16,IF(RIGHT(H16,1)="s",H16,IF(RIGHT(H16,1)="l",LEFT(H16,LEN(H16)-1)&amp;"is",IF(OR(RIGHT(H16,1)="r",RIGHT(H16,1)="z"),H16&amp;"es",IF(RIGHT(H16,1)="m",LEFT(H16,LEN(H16)-1)&amp;"ns",H16&amp;"s")))))</f>
        <v/>
      </c>
    </row>
    <row r="17">
      <c r="A17" s="3">
        <f>IF(OR(G17="",I17=""),"(falta traduzir)",F17&amp;" "&amp;I17&amp;" "&amp;G17)</f>
        <v/>
      </c>
      <c r="B17" t="inlineStr">
        <is>
          <t>梵血贯龙枪</t>
        </is>
      </c>
      <c r="C17" t="inlineStr">
        <is>
          <t>Sage's Blooded Lança do Dragão Fendente</t>
        </is>
      </c>
      <c r="D17" t="n">
        <v>155</v>
      </c>
      <c r="E17" t="n">
        <v>225</v>
      </c>
      <c r="F17" t="inlineStr">
        <is>
          <t>Lança do Dragão Fendente</t>
        </is>
      </c>
      <c r="G17" s="4">
        <f>INDEX('Peça 1'!F:F,MATCH(D17,'Peça 1'!A:A,0))&amp;""</f>
        <v/>
      </c>
      <c r="H17" s="4">
        <f>IF(AND(INDEX('Nomes-base'!B:B,MATCH(F17,'Nomes-base'!A:A,0))="f",INDEX('Peça 2'!G:G,MATCH(E17,'Peça 2'!A:A,0))&amp;""&lt;&gt;""),INDEX('Peça 2'!G:G,MATCH(E17,'Peça 2'!A:A,0))&amp;"",INDEX('Peça 2'!F:F,MATCH(E17,'Peça 2'!A:A,0))&amp;"")</f>
        <v/>
      </c>
      <c r="I17" s="4">
        <f>IF(OR(H17="",ISNUMBER(SEARCH(" ",H17)),INDEX('Nomes-base'!C:C,MATCH(F17,'Nomes-base'!A:A,0))&lt;&gt;"p"),H17,IF(RIGHT(H17,1)="s",H17,IF(RIGHT(H17,1)="l",LEFT(H17,LEN(H17)-1)&amp;"is",IF(OR(RIGHT(H17,1)="r",RIGHT(H17,1)="z"),H17&amp;"es",IF(RIGHT(H17,1)="m",LEFT(H17,LEN(H17)-1)&amp;"ns",H17&amp;"s")))))</f>
        <v/>
      </c>
    </row>
    <row r="18">
      <c r="A18" s="3">
        <f>IF(OR(G18="",I18=""),"(falta traduzir)",F18&amp;" "&amp;I18&amp;" "&amp;G18)</f>
        <v/>
      </c>
      <c r="B18" t="inlineStr">
        <is>
          <t>旋云青涛掌</t>
        </is>
      </c>
      <c r="C18" t="inlineStr">
        <is>
          <t>Wisdom's Clouded Palma da Onda Verde</t>
        </is>
      </c>
      <c r="D18" t="n">
        <v>141</v>
      </c>
      <c r="E18" t="n">
        <v>201</v>
      </c>
      <c r="F18" t="inlineStr">
        <is>
          <t>Palma da Onda Verde</t>
        </is>
      </c>
      <c r="G18" s="4">
        <f>INDEX('Peça 1'!F:F,MATCH(D18,'Peça 1'!A:A,0))&amp;""</f>
        <v/>
      </c>
      <c r="H18" s="4">
        <f>IF(AND(INDEX('Nomes-base'!B:B,MATCH(F18,'Nomes-base'!A:A,0))="f",INDEX('Peça 2'!G:G,MATCH(E18,'Peça 2'!A:A,0))&amp;""&lt;&gt;""),INDEX('Peça 2'!G:G,MATCH(E18,'Peça 2'!A:A,0))&amp;"",INDEX('Peça 2'!F:F,MATCH(E18,'Peça 2'!A:A,0))&amp;"")</f>
        <v/>
      </c>
      <c r="I18" s="4">
        <f>IF(OR(H18="",ISNUMBER(SEARCH(" ",H18)),INDEX('Nomes-base'!C:C,MATCH(F18,'Nomes-base'!A:A,0))&lt;&gt;"p"),H18,IF(RIGHT(H18,1)="s",H18,IF(RIGHT(H18,1)="l",LEFT(H18,LEN(H18)-1)&amp;"is",IF(OR(RIGHT(H18,1)="r",RIGHT(H18,1)="z"),H18&amp;"es",IF(RIGHT(H18,1)="m",LEFT(H18,LEN(H18)-1)&amp;"ns",H18&amp;"s")))))</f>
        <v/>
      </c>
    </row>
    <row r="19">
      <c r="A19" s="3">
        <f>IF(OR(G19="",I19=""),"(falta traduzir)",F19&amp;" "&amp;I19&amp;" "&amp;G19)</f>
        <v/>
      </c>
      <c r="B19" t="inlineStr">
        <is>
          <t>踏雾旋风刀</t>
        </is>
      </c>
      <c r="C19" t="inlineStr">
        <is>
          <t>Nihil's Misty Lâmina do Redemoinho</t>
        </is>
      </c>
      <c r="D19" t="n">
        <v>188</v>
      </c>
      <c r="E19" t="n">
        <v>281</v>
      </c>
      <c r="F19" t="inlineStr">
        <is>
          <t>Lâmina do Redemoinho</t>
        </is>
      </c>
      <c r="G19" s="4">
        <f>INDEX('Peça 1'!F:F,MATCH(D19,'Peça 1'!A:A,0))&amp;""</f>
        <v/>
      </c>
      <c r="H19" s="4">
        <f>IF(AND(INDEX('Nomes-base'!B:B,MATCH(F19,'Nomes-base'!A:A,0))="f",INDEX('Peça 2'!G:G,MATCH(E19,'Peça 2'!A:A,0))&amp;""&lt;&gt;""),INDEX('Peça 2'!G:G,MATCH(E19,'Peça 2'!A:A,0))&amp;"",INDEX('Peça 2'!F:F,MATCH(E19,'Peça 2'!A:A,0))&amp;"")</f>
        <v/>
      </c>
      <c r="I19" s="4">
        <f>IF(OR(H19="",ISNUMBER(SEARCH(" ",H19)),INDEX('Nomes-base'!C:C,MATCH(F19,'Nomes-base'!A:A,0))&lt;&gt;"p"),H19,IF(RIGHT(H19,1)="s",H19,IF(RIGHT(H19,1)="l",LEFT(H19,LEN(H19)-1)&amp;"is",IF(OR(RIGHT(H19,1)="r",RIGHT(H19,1)="z"),H19&amp;"es",IF(RIGHT(H19,1)="m",LEFT(H19,LEN(H19)-1)&amp;"ns",H19&amp;"s")))))</f>
        <v/>
      </c>
    </row>
    <row r="20">
      <c r="A20" s="3">
        <f>IF(OR(G20="",I20=""),"(falta traduzir)",F20&amp;" "&amp;I20&amp;" "&amp;G20)</f>
        <v/>
      </c>
      <c r="B20" t="inlineStr">
        <is>
          <t>荡血落石术</t>
        </is>
      </c>
      <c r="C20" t="inlineStr">
        <is>
          <t>Lust's Blooded Queda de Rochas</t>
        </is>
      </c>
      <c r="D20" t="n">
        <v>123</v>
      </c>
      <c r="E20" t="n">
        <v>225</v>
      </c>
      <c r="F20" t="inlineStr">
        <is>
          <t>Queda de Rochas</t>
        </is>
      </c>
      <c r="G20" s="4">
        <f>INDEX('Peça 1'!F:F,MATCH(D20,'Peça 1'!A:A,0))&amp;""</f>
        <v/>
      </c>
      <c r="H20" s="4">
        <f>IF(AND(INDEX('Nomes-base'!B:B,MATCH(F20,'Nomes-base'!A:A,0))="f",INDEX('Peça 2'!G:G,MATCH(E20,'Peça 2'!A:A,0))&amp;""&lt;&gt;""),INDEX('Peça 2'!G:G,MATCH(E20,'Peça 2'!A:A,0))&amp;"",INDEX('Peça 2'!F:F,MATCH(E20,'Peça 2'!A:A,0))&amp;"")</f>
        <v/>
      </c>
      <c r="I20" s="4">
        <f>IF(OR(H20="",ISNUMBER(SEARCH(" ",H20)),INDEX('Nomes-base'!C:C,MATCH(F20,'Nomes-base'!A:A,0))&lt;&gt;"p"),H20,IF(RIGHT(H20,1)="s",H20,IF(RIGHT(H20,1)="l",LEFT(H20,LEN(H20)-1)&amp;"is",IF(OR(RIGHT(H20,1)="r",RIGHT(H20,1)="z"),H20&amp;"es",IF(RIGHT(H20,1)="m",LEFT(H20,LEN(H20)-1)&amp;"ns",H20&amp;"s")))))</f>
        <v/>
      </c>
    </row>
    <row r="21">
      <c r="A21" s="3">
        <f>IF(OR(G21="",I21=""),"(falta traduzir)",F21&amp;" "&amp;I21&amp;" "&amp;G21)</f>
        <v/>
      </c>
      <c r="B21" t="inlineStr">
        <is>
          <t>明枫雷光术</t>
        </is>
      </c>
      <c r="C21" t="inlineStr">
        <is>
          <t>Ceremony's Maple Disparo Elétrico</t>
        </is>
      </c>
      <c r="D21" t="n">
        <v>153</v>
      </c>
      <c r="E21" t="n">
        <v>321</v>
      </c>
      <c r="F21" t="inlineStr">
        <is>
          <t>Disparo Elétrico</t>
        </is>
      </c>
      <c r="G21" s="4">
        <f>INDEX('Peça 1'!F:F,MATCH(D21,'Peça 1'!A:A,0))&amp;""</f>
        <v/>
      </c>
      <c r="H21" s="4">
        <f>IF(AND(INDEX('Nomes-base'!B:B,MATCH(F21,'Nomes-base'!A:A,0))="f",INDEX('Peça 2'!G:G,MATCH(E21,'Peça 2'!A:A,0))&amp;""&lt;&gt;""),INDEX('Peça 2'!G:G,MATCH(E21,'Peça 2'!A:A,0))&amp;"",INDEX('Peça 2'!F:F,MATCH(E21,'Peça 2'!A:A,0))&amp;"")</f>
        <v/>
      </c>
      <c r="I21" s="4">
        <f>IF(OR(H21="",ISNUMBER(SEARCH(" ",H21)),INDEX('Nomes-base'!C:C,MATCH(F21,'Nomes-base'!A:A,0))&lt;&gt;"p"),H21,IF(RIGHT(H21,1)="s",H21,IF(RIGHT(H21,1)="l",LEFT(H21,LEN(H21)-1)&amp;"is",IF(OR(RIGHT(H21,1)="r",RIGHT(H21,1)="z"),H21&amp;"es",IF(RIGHT(H21,1)="m",LEFT(H21,LEN(H21)-1)&amp;"ns",H21&amp;"s")))))</f>
        <v/>
      </c>
    </row>
    <row r="22">
      <c r="A22" s="3">
        <f>IF(OR(G22="",I22=""),"(falta traduzir)",F22&amp;" "&amp;I22&amp;" "&amp;G22)</f>
        <v/>
      </c>
      <c r="B22" t="inlineStr">
        <is>
          <t>凝峰风刃术</t>
        </is>
      </c>
      <c r="C22" t="inlineStr">
        <is>
          <t>Thinker's Peaked Gume do Vento</t>
        </is>
      </c>
      <c r="D22" t="n">
        <v>8</v>
      </c>
      <c r="E22" t="n">
        <v>297</v>
      </c>
      <c r="F22" t="inlineStr">
        <is>
          <t>Gume do Vento</t>
        </is>
      </c>
      <c r="G22" s="4">
        <f>INDEX('Peça 1'!F:F,MATCH(D22,'Peça 1'!A:A,0))&amp;""</f>
        <v/>
      </c>
      <c r="H22" s="4">
        <f>IF(AND(INDEX('Nomes-base'!B:B,MATCH(F22,'Nomes-base'!A:A,0))="f",INDEX('Peça 2'!G:G,MATCH(E22,'Peça 2'!A:A,0))&amp;""&lt;&gt;""),INDEX('Peça 2'!G:G,MATCH(E22,'Peça 2'!A:A,0))&amp;"",INDEX('Peça 2'!F:F,MATCH(E22,'Peça 2'!A:A,0))&amp;"")</f>
        <v/>
      </c>
      <c r="I22" s="4">
        <f>IF(OR(H22="",ISNUMBER(SEARCH(" ",H22)),INDEX('Nomes-base'!C:C,MATCH(F22,'Nomes-base'!A:A,0))&lt;&gt;"p"),H22,IF(RIGHT(H22,1)="s",H22,IF(RIGHT(H22,1)="l",LEFT(H22,LEN(H22)-1)&amp;"is",IF(OR(RIGHT(H22,1)="r",RIGHT(H22,1)="z"),H22&amp;"es",IF(RIGHT(H22,1)="m",LEFT(H22,LEN(H22)-1)&amp;"ns",H22&amp;"s")))))</f>
        <v/>
      </c>
    </row>
    <row r="23">
      <c r="A23" s="3">
        <f>IF(OR(G23="",I23=""),"(falta traduzir)",F23&amp;" "&amp;I23&amp;" "&amp;G23)</f>
        <v/>
      </c>
      <c r="B23" t="inlineStr">
        <is>
          <t>掣意惊虹掌</t>
        </is>
      </c>
      <c r="C23" t="inlineStr">
        <is>
          <t>Control's Willful Palma Arco-Íris</t>
        </is>
      </c>
      <c r="D23" t="n">
        <v>32</v>
      </c>
      <c r="E23" t="n">
        <v>361</v>
      </c>
      <c r="F23" t="inlineStr">
        <is>
          <t>Palma Arco-Íris</t>
        </is>
      </c>
      <c r="G23" s="4">
        <f>INDEX('Peça 1'!F:F,MATCH(D23,'Peça 1'!A:A,0))&amp;""</f>
        <v/>
      </c>
      <c r="H23" s="4">
        <f>IF(AND(INDEX('Nomes-base'!B:B,MATCH(F23,'Nomes-base'!A:A,0))="f",INDEX('Peça 2'!G:G,MATCH(E23,'Peça 2'!A:A,0))&amp;""&lt;&gt;""),INDEX('Peça 2'!G:G,MATCH(E23,'Peça 2'!A:A,0))&amp;"",INDEX('Peça 2'!F:F,MATCH(E23,'Peça 2'!A:A,0))&amp;"")</f>
        <v/>
      </c>
      <c r="I23" s="4">
        <f>IF(OR(H23="",ISNUMBER(SEARCH(" ",H23)),INDEX('Nomes-base'!C:C,MATCH(F23,'Nomes-base'!A:A,0))&lt;&gt;"p"),H23,IF(RIGHT(H23,1)="s",H23,IF(RIGHT(H23,1)="l",LEFT(H23,LEN(H23)-1)&amp;"is",IF(OR(RIGHT(H23,1)="r",RIGHT(H23,1)="z"),H23&amp;"es",IF(RIGHT(H23,1)="m",LEFT(H23,LEN(H23)-1)&amp;"ns",H23&amp;"s")))))</f>
        <v/>
      </c>
    </row>
    <row r="24">
      <c r="A24" s="3">
        <f>IF(OR(G24="",I24=""),"(falta traduzir)",F24&amp;" "&amp;I24&amp;" "&amp;G24)</f>
        <v/>
      </c>
      <c r="B24" t="inlineStr">
        <is>
          <t>灭意毒沼术</t>
        </is>
      </c>
      <c r="C24" t="inlineStr">
        <is>
          <t>Ruiner's Willful Pântano Venenoso</t>
        </is>
      </c>
      <c r="D24" t="n">
        <v>45</v>
      </c>
      <c r="E24" t="n">
        <v>361</v>
      </c>
      <c r="F24" t="inlineStr">
        <is>
          <t>Pântano Venenoso</t>
        </is>
      </c>
      <c r="G24" s="4">
        <f>INDEX('Peça 1'!F:F,MATCH(D24,'Peça 1'!A:A,0))&amp;""</f>
        <v/>
      </c>
      <c r="H24" s="4">
        <f>IF(AND(INDEX('Nomes-base'!B:B,MATCH(F24,'Nomes-base'!A:A,0))="f",INDEX('Peça 2'!G:G,MATCH(E24,'Peça 2'!A:A,0))&amp;""&lt;&gt;""),INDEX('Peça 2'!G:G,MATCH(E24,'Peça 2'!A:A,0))&amp;"",INDEX('Peça 2'!F:F,MATCH(E24,'Peça 2'!A:A,0))&amp;"")</f>
        <v/>
      </c>
      <c r="I24" s="4">
        <f>IF(OR(H24="",ISNUMBER(SEARCH(" ",H24)),INDEX('Nomes-base'!C:C,MATCH(F24,'Nomes-base'!A:A,0))&lt;&gt;"p"),H24,IF(RIGHT(H24,1)="s",H24,IF(RIGHT(H24,1)="l",LEFT(H24,LEN(H24)-1)&amp;"is",IF(OR(RIGHT(H24,1)="r",RIGHT(H24,1)="z"),H24&amp;"es",IF(RIGHT(H24,1)="m",LEFT(H24,LEN(H24)-1)&amp;"ns",H24&amp;"s")))))</f>
        <v/>
      </c>
    </row>
    <row r="25">
      <c r="A25" s="3">
        <f>IF(OR(G25="",I25=""),"(falta traduzir)",F25&amp;" "&amp;I25&amp;" "&amp;G25)</f>
        <v/>
      </c>
      <c r="B25" t="inlineStr">
        <is>
          <t>罡鸿灵虚爆</t>
        </is>
      </c>
      <c r="C25" t="inlineStr">
        <is>
          <t>Charity's Cardinal Explosão de Espírito do Vazio</t>
        </is>
      </c>
      <c r="D25" t="n">
        <v>133</v>
      </c>
      <c r="E25" t="n">
        <v>393</v>
      </c>
      <c r="F25" t="inlineStr">
        <is>
          <t>Explosão de Espírito do Vazio</t>
        </is>
      </c>
      <c r="G25" s="4">
        <f>INDEX('Peça 1'!F:F,MATCH(D25,'Peça 1'!A:A,0))&amp;""</f>
        <v/>
      </c>
      <c r="H25" s="4">
        <f>IF(AND(INDEX('Nomes-base'!B:B,MATCH(F25,'Nomes-base'!A:A,0))="f",INDEX('Peça 2'!G:G,MATCH(E25,'Peça 2'!A:A,0))&amp;""&lt;&gt;""),INDEX('Peça 2'!G:G,MATCH(E25,'Peça 2'!A:A,0))&amp;"",INDEX('Peça 2'!F:F,MATCH(E25,'Peça 2'!A:A,0))&amp;"")</f>
        <v/>
      </c>
      <c r="I25" s="4">
        <f>IF(OR(H25="",ISNUMBER(SEARCH(" ",H25)),INDEX('Nomes-base'!C:C,MATCH(F25,'Nomes-base'!A:A,0))&lt;&gt;"p"),H25,IF(RIGHT(H25,1)="s",H25,IF(RIGHT(H25,1)="l",LEFT(H25,LEN(H25)-1)&amp;"is",IF(OR(RIGHT(H25,1)="r",RIGHT(H25,1)="z"),H25&amp;"es",IF(RIGHT(H25,1)="m",LEFT(H25,LEN(H25)-1)&amp;"ns",H25&amp;"s")))))</f>
        <v/>
      </c>
    </row>
    <row r="26">
      <c r="A26" s="3">
        <f>IF(OR(G26="",I26=""),"(falta traduzir)",F26&amp;" "&amp;I26&amp;" "&amp;G26)</f>
        <v/>
      </c>
      <c r="B26" t="inlineStr">
        <is>
          <t>锁血落雷阵</t>
        </is>
      </c>
      <c r="C26" t="inlineStr">
        <is>
          <t>Chainer's Blooded Colapso do Relâmpago</t>
        </is>
      </c>
      <c r="D26" t="n">
        <v>64</v>
      </c>
      <c r="E26" t="n">
        <v>225</v>
      </c>
      <c r="F26" t="inlineStr">
        <is>
          <t>Colapso do Relâmpago</t>
        </is>
      </c>
      <c r="G26" s="4">
        <f>INDEX('Peça 1'!F:F,MATCH(D26,'Peça 1'!A:A,0))&amp;""</f>
        <v/>
      </c>
      <c r="H26" s="4">
        <f>IF(AND(INDEX('Nomes-base'!B:B,MATCH(F26,'Nomes-base'!A:A,0))="f",INDEX('Peça 2'!G:G,MATCH(E26,'Peça 2'!A:A,0))&amp;""&lt;&gt;""),INDEX('Peça 2'!G:G,MATCH(E26,'Peça 2'!A:A,0))&amp;"",INDEX('Peça 2'!F:F,MATCH(E26,'Peça 2'!A:A,0))&amp;"")</f>
        <v/>
      </c>
      <c r="I26" s="4">
        <f>IF(OR(H26="",ISNUMBER(SEARCH(" ",H26)),INDEX('Nomes-base'!C:C,MATCH(F26,'Nomes-base'!A:A,0))&lt;&gt;"p"),H26,IF(RIGHT(H26,1)="s",H26,IF(RIGHT(H26,1)="l",LEFT(H26,LEN(H26)-1)&amp;"is",IF(OR(RIGHT(H26,1)="r",RIGHT(H26,1)="z"),H26&amp;"es",IF(RIGHT(H26,1)="m",LEFT(H26,LEN(H26)-1)&amp;"ns",H26&amp;"s")))))</f>
        <v/>
      </c>
    </row>
    <row r="27">
      <c r="A27" s="3">
        <f>IF(OR(G27="",I27=""),"(falta traduzir)",F27&amp;" "&amp;I27&amp;" "&amp;G27)</f>
        <v/>
      </c>
      <c r="B27" t="inlineStr">
        <is>
          <t>腾血疾龙破</t>
        </is>
      </c>
      <c r="C27" t="inlineStr">
        <is>
          <t>Rider's Blooded Ascensão do Dragão Veloz</t>
        </is>
      </c>
      <c r="D27" t="n">
        <v>105</v>
      </c>
      <c r="E27" t="n">
        <v>225</v>
      </c>
      <c r="F27" t="inlineStr">
        <is>
          <t>Ascensão do Dragão Veloz</t>
        </is>
      </c>
      <c r="G27" s="4">
        <f>INDEX('Peça 1'!F:F,MATCH(D27,'Peça 1'!A:A,0))&amp;""</f>
        <v/>
      </c>
      <c r="H27" s="4">
        <f>IF(AND(INDEX('Nomes-base'!B:B,MATCH(F27,'Nomes-base'!A:A,0))="f",INDEX('Peça 2'!G:G,MATCH(E27,'Peça 2'!A:A,0))&amp;""&lt;&gt;""),INDEX('Peça 2'!G:G,MATCH(E27,'Peça 2'!A:A,0))&amp;"",INDEX('Peça 2'!F:F,MATCH(E27,'Peça 2'!A:A,0))&amp;"")</f>
        <v/>
      </c>
      <c r="I27" s="4">
        <f>IF(OR(H27="",ISNUMBER(SEARCH(" ",H27)),INDEX('Nomes-base'!C:C,MATCH(F27,'Nomes-base'!A:A,0))&lt;&gt;"p"),H27,IF(RIGHT(H27,1)="s",H27,IF(RIGHT(H27,1)="l",LEFT(H27,LEN(H27)-1)&amp;"is",IF(OR(RIGHT(H27,1)="r",RIGHT(H27,1)="z"),H27&amp;"es",IF(RIGHT(H27,1)="m",LEFT(H27,LEN(H27)-1)&amp;"ns",H27&amp;"s")))))</f>
        <v/>
      </c>
    </row>
    <row r="28">
      <c r="A28" s="3">
        <f>IF(OR(G28="",I28=""),"(falta traduzir)",F28&amp;" "&amp;I28&amp;" "&amp;G28)</f>
        <v/>
      </c>
      <c r="B28" t="inlineStr">
        <is>
          <t>仙雾霜灵爆</t>
        </is>
      </c>
      <c r="C28" t="inlineStr">
        <is>
          <t>Sloth's Misty Explosão de Espírito Gélido</t>
        </is>
      </c>
      <c r="D28" t="n">
        <v>127</v>
      </c>
      <c r="E28" t="n">
        <v>281</v>
      </c>
      <c r="F28" t="inlineStr">
        <is>
          <t>Explosão de Espírito Gélido</t>
        </is>
      </c>
      <c r="G28" s="4">
        <f>INDEX('Peça 1'!F:F,MATCH(D28,'Peça 1'!A:A,0))&amp;""</f>
        <v/>
      </c>
      <c r="H28" s="4">
        <f>IF(AND(INDEX('Nomes-base'!B:B,MATCH(F28,'Nomes-base'!A:A,0))="f",INDEX('Peça 2'!G:G,MATCH(E28,'Peça 2'!A:A,0))&amp;""&lt;&gt;""),INDEX('Peça 2'!G:G,MATCH(E28,'Peça 2'!A:A,0))&amp;"",INDEX('Peça 2'!F:F,MATCH(E28,'Peça 2'!A:A,0))&amp;"")</f>
        <v/>
      </c>
      <c r="I28" s="4">
        <f>IF(OR(H28="",ISNUMBER(SEARCH(" ",H28)),INDEX('Nomes-base'!C:C,MATCH(F28,'Nomes-base'!A:A,0))&lt;&gt;"p"),H28,IF(RIGHT(H28,1)="s",H28,IF(RIGHT(H28,1)="l",LEFT(H28,LEN(H28)-1)&amp;"is",IF(OR(RIGHT(H28,1)="r",RIGHT(H28,1)="z"),H28&amp;"es",IF(RIGHT(H28,1)="m",LEFT(H28,LEN(H28)-1)&amp;"ns",H28&amp;"s")))))</f>
        <v/>
      </c>
    </row>
    <row r="29">
      <c r="A29" s="3">
        <f>IF(OR(G29="",I29=""),"(falta traduzir)",F29&amp;" "&amp;I29&amp;" "&amp;G29)</f>
        <v/>
      </c>
      <c r="B29" t="inlineStr">
        <is>
          <t>追峰破体拳</t>
        </is>
      </c>
      <c r="C29" t="inlineStr">
        <is>
          <t>Chaser's Peaked Punho Sombrio</t>
        </is>
      </c>
      <c r="D29" t="n">
        <v>91</v>
      </c>
      <c r="E29" t="n">
        <v>297</v>
      </c>
      <c r="F29" t="inlineStr">
        <is>
          <t>Punho Sombrio</t>
        </is>
      </c>
      <c r="G29" s="4">
        <f>INDEX('Peça 1'!F:F,MATCH(D29,'Peça 1'!A:A,0))&amp;""</f>
        <v/>
      </c>
      <c r="H29" s="4">
        <f>IF(AND(INDEX('Nomes-base'!B:B,MATCH(F29,'Nomes-base'!A:A,0))="f",INDEX('Peça 2'!G:G,MATCH(E29,'Peça 2'!A:A,0))&amp;""&lt;&gt;""),INDEX('Peça 2'!G:G,MATCH(E29,'Peça 2'!A:A,0))&amp;"",INDEX('Peça 2'!F:F,MATCH(E29,'Peça 2'!A:A,0))&amp;"")</f>
        <v/>
      </c>
      <c r="I29" s="4">
        <f>IF(OR(H29="",ISNUMBER(SEARCH(" ",H29)),INDEX('Nomes-base'!C:C,MATCH(F29,'Nomes-base'!A:A,0))&lt;&gt;"p"),H29,IF(RIGHT(H29,1)="s",H29,IF(RIGHT(H29,1)="l",LEFT(H29,LEN(H29)-1)&amp;"is",IF(OR(RIGHT(H29,1)="r",RIGHT(H29,1)="z"),H29&amp;"es",IF(RIGHT(H29,1)="m",LEFT(H29,LEN(H29)-1)&amp;"ns",H29&amp;"s")))))</f>
        <v/>
      </c>
    </row>
    <row r="30">
      <c r="A30" s="3">
        <f>IF(OR(G30="",I30=""),"(falta traduzir)",F30&amp;" "&amp;I30&amp;" "&amp;G30)</f>
        <v/>
      </c>
      <c r="B30" t="inlineStr">
        <is>
          <t>四枫式</t>
        </is>
      </c>
      <c r="C30" t="inlineStr">
        <is>
          <t>Remover's Maple Técnica</t>
        </is>
      </c>
      <c r="D30" t="n">
        <v>199</v>
      </c>
      <c r="E30" t="n">
        <v>321</v>
      </c>
      <c r="F30" t="inlineStr">
        <is>
          <t>Técnica</t>
        </is>
      </c>
      <c r="G30" s="4">
        <f>INDEX('Peça 1'!F:F,MATCH(D30,'Peça 1'!A:A,0))&amp;""</f>
        <v/>
      </c>
      <c r="H30" s="4">
        <f>IF(AND(INDEX('Nomes-base'!B:B,MATCH(F30,'Nomes-base'!A:A,0))="f",INDEX('Peça 2'!G:G,MATCH(E30,'Peça 2'!A:A,0))&amp;""&lt;&gt;""),INDEX('Peça 2'!G:G,MATCH(E30,'Peça 2'!A:A,0))&amp;"",INDEX('Peça 2'!F:F,MATCH(E30,'Peça 2'!A:A,0))&amp;"")</f>
        <v/>
      </c>
      <c r="I30" s="4">
        <f>IF(OR(H30="",ISNUMBER(SEARCH(" ",H30)),INDEX('Nomes-base'!C:C,MATCH(F30,'Nomes-base'!A:A,0))&lt;&gt;"p"),H30,IF(RIGHT(H30,1)="s",H30,IF(RIGHT(H30,1)="l",LEFT(H30,LEN(H30)-1)&amp;"is",IF(OR(RIGHT(H30,1)="r",RIGHT(H30,1)="z"),H30&amp;"es",IF(RIGHT(H30,1)="m",LEFT(H30,LEN(H30)-1)&amp;"ns",H30&amp;"s")))))</f>
        <v/>
      </c>
    </row>
    <row r="31">
      <c r="A31" s="3">
        <f>IF(OR(G31="",I31=""),"(falta traduzir)",F31&amp;" "&amp;I31&amp;" "&amp;G31)</f>
        <v/>
      </c>
      <c r="B31" t="inlineStr">
        <is>
          <t>爆云影</t>
        </is>
      </c>
      <c r="C31" t="inlineStr">
        <is>
          <t>Burster's Clouded Sombra</t>
        </is>
      </c>
      <c r="D31" t="n">
        <v>72</v>
      </c>
      <c r="E31" t="n">
        <v>201</v>
      </c>
      <c r="F31" t="inlineStr">
        <is>
          <t>Sombra</t>
        </is>
      </c>
      <c r="G31" s="4">
        <f>INDEX('Peça 1'!F:F,MATCH(D31,'Peça 1'!A:A,0))&amp;""</f>
        <v/>
      </c>
      <c r="H31" s="4">
        <f>IF(AND(INDEX('Nomes-base'!B:B,MATCH(F31,'Nomes-base'!A:A,0))="f",INDEX('Peça 2'!G:G,MATCH(E31,'Peça 2'!A:A,0))&amp;""&lt;&gt;""),INDEX('Peça 2'!G:G,MATCH(E31,'Peça 2'!A:A,0))&amp;"",INDEX('Peça 2'!F:F,MATCH(E31,'Peça 2'!A:A,0))&amp;"")</f>
        <v/>
      </c>
      <c r="I31" s="4">
        <f>IF(OR(H31="",ISNUMBER(SEARCH(" ",H31)),INDEX('Nomes-base'!C:C,MATCH(F31,'Nomes-base'!A:A,0))&lt;&gt;"p"),H31,IF(RIGHT(H31,1)="s",H31,IF(RIGHT(H31,1)="l",LEFT(H31,LEN(H31)-1)&amp;"is",IF(OR(RIGHT(H31,1)="r",RIGHT(H31,1)="z"),H31&amp;"es",IF(RIGHT(H31,1)="m",LEFT(H31,LEN(H31)-1)&amp;"ns",H31&amp;"s")))))</f>
        <v/>
      </c>
    </row>
    <row r="32">
      <c r="A32" s="3">
        <f>IF(OR(G32="",I32=""),"(falta traduzir)",F32&amp;" "&amp;I32&amp;" "&amp;G32)</f>
        <v/>
      </c>
      <c r="B32" t="inlineStr">
        <is>
          <t>双命录</t>
        </is>
      </c>
      <c r="C32" t="inlineStr">
        <is>
          <t>Step's Living Compêndio</t>
        </is>
      </c>
      <c r="D32" t="n">
        <v>187</v>
      </c>
      <c r="E32" t="n">
        <v>385</v>
      </c>
      <c r="F32" t="inlineStr">
        <is>
          <t>Compêndio</t>
        </is>
      </c>
      <c r="G32" s="4">
        <f>INDEX('Peça 1'!F:F,MATCH(D32,'Peça 1'!A:A,0))&amp;""</f>
        <v/>
      </c>
      <c r="H32" s="4">
        <f>IF(AND(INDEX('Nomes-base'!B:B,MATCH(F32,'Nomes-base'!A:A,0))="f",INDEX('Peça 2'!G:G,MATCH(E32,'Peça 2'!A:A,0))&amp;""&lt;&gt;""),INDEX('Peça 2'!G:G,MATCH(E32,'Peça 2'!A:A,0))&amp;"",INDEX('Peça 2'!F:F,MATCH(E32,'Peça 2'!A:A,0))&amp;"")</f>
        <v/>
      </c>
      <c r="I32" s="4">
        <f>IF(OR(H32="",ISNUMBER(SEARCH(" ",H32)),INDEX('Nomes-base'!C:C,MATCH(F32,'Nomes-base'!A:A,0))&lt;&gt;"p"),H32,IF(RIGHT(H32,1)="s",H32,IF(RIGHT(H32,1)="l",LEFT(H32,LEN(H32)-1)&amp;"is",IF(OR(RIGHT(H32,1)="r",RIGHT(H32,1)="z"),H32&amp;"es",IF(RIGHT(H32,1)="m",LEFT(H32,LEN(H32)-1)&amp;"ns",H32&amp;"s")))))</f>
        <v/>
      </c>
    </row>
    <row r="33">
      <c r="A33" s="3">
        <f>IF(OR(G33="",I33=""),"(falta traduzir)",F33&amp;" "&amp;I33&amp;" "&amp;G33)</f>
        <v/>
      </c>
      <c r="B33" t="inlineStr">
        <is>
          <t>聚磐裂地拳</t>
        </is>
      </c>
      <c r="C33" t="inlineStr">
        <is>
          <t>Fixer's Solid Punho Sísmico</t>
        </is>
      </c>
      <c r="D33" t="n">
        <v>12</v>
      </c>
      <c r="E33" t="n">
        <v>369</v>
      </c>
      <c r="F33" t="inlineStr">
        <is>
          <t>Punho Sísmico</t>
        </is>
      </c>
      <c r="G33" s="4">
        <f>INDEX('Peça 1'!F:F,MATCH(D33,'Peça 1'!A:A,0))&amp;""</f>
        <v/>
      </c>
      <c r="H33" s="4">
        <f>IF(AND(INDEX('Nomes-base'!B:B,MATCH(F33,'Nomes-base'!A:A,0))="f",INDEX('Peça 2'!G:G,MATCH(E33,'Peça 2'!A:A,0))&amp;""&lt;&gt;""),INDEX('Peça 2'!G:G,MATCH(E33,'Peça 2'!A:A,0))&amp;"",INDEX('Peça 2'!F:F,MATCH(E33,'Peça 2'!A:A,0))&amp;"")</f>
        <v/>
      </c>
      <c r="I33" s="4">
        <f>IF(OR(H33="",ISNUMBER(SEARCH(" ",H33)),INDEX('Nomes-base'!C:C,MATCH(F33,'Nomes-base'!A:A,0))&lt;&gt;"p"),H33,IF(RIGHT(H33,1)="s",H33,IF(RIGHT(H33,1)="l",LEFT(H33,LEN(H33)-1)&amp;"is",IF(OR(RIGHT(H33,1)="r",RIGHT(H33,1)="z"),H33&amp;"es",IF(RIGHT(H33,1)="m",LEFT(H33,LEN(H33)-1)&amp;"ns",H33&amp;"s")))))</f>
        <v/>
      </c>
    </row>
    <row r="34">
      <c r="A34" s="3">
        <f>IF(OR(G34="",I34=""),"(falta traduzir)",F34&amp;" "&amp;I34&amp;" "&amp;G34)</f>
        <v/>
      </c>
      <c r="B34" t="inlineStr">
        <is>
          <t>蚀溟怒血斩</t>
        </is>
      </c>
      <c r="C34" t="inlineStr">
        <is>
          <t>Gnawer's Deep Corte do Sangue Furioso</t>
        </is>
      </c>
      <c r="D34" t="n">
        <v>70</v>
      </c>
      <c r="E34" t="n">
        <v>257</v>
      </c>
      <c r="F34" t="inlineStr">
        <is>
          <t>Corte do Sangue Furioso</t>
        </is>
      </c>
      <c r="G34" s="4">
        <f>INDEX('Peça 1'!F:F,MATCH(D34,'Peça 1'!A:A,0))&amp;""</f>
        <v/>
      </c>
      <c r="H34" s="4">
        <f>IF(AND(INDEX('Nomes-base'!B:B,MATCH(F34,'Nomes-base'!A:A,0))="f",INDEX('Peça 2'!G:G,MATCH(E34,'Peça 2'!A:A,0))&amp;""&lt;&gt;""),INDEX('Peça 2'!G:G,MATCH(E34,'Peça 2'!A:A,0))&amp;"",INDEX('Peça 2'!F:F,MATCH(E34,'Peça 2'!A:A,0))&amp;"")</f>
        <v/>
      </c>
      <c r="I34" s="4">
        <f>IF(OR(H34="",ISNUMBER(SEARCH(" ",H34)),INDEX('Nomes-base'!C:C,MATCH(F34,'Nomes-base'!A:A,0))&lt;&gt;"p"),H34,IF(RIGHT(H34,1)="s",H34,IF(RIGHT(H34,1)="l",LEFT(H34,LEN(H34)-1)&amp;"is",IF(OR(RIGHT(H34,1)="r",RIGHT(H34,1)="z"),H34&amp;"es",IF(RIGHT(H34,1)="m",LEFT(H34,LEN(H34)-1)&amp;"ns",H34&amp;"s")))))</f>
        <v/>
      </c>
    </row>
    <row r="35">
      <c r="A35" s="3">
        <f>IF(OR(G35="",I35=""),"(falta traduzir)",F35&amp;" "&amp;I35&amp;" "&amp;G35)</f>
        <v/>
      </c>
      <c r="B35" t="inlineStr">
        <is>
          <t>飞云水灵术</t>
        </is>
      </c>
      <c r="C35" t="inlineStr">
        <is>
          <t>Hoverer's Clouded Spiritual Water</t>
        </is>
      </c>
      <c r="D35" t="n">
        <v>1</v>
      </c>
      <c r="E35" t="n">
        <v>201</v>
      </c>
      <c r="F35" t="inlineStr">
        <is>
          <t>Água Espiritual</t>
        </is>
      </c>
      <c r="G35" s="4">
        <f>INDEX('Peça 1'!F:F,MATCH(D35,'Peça 1'!A:A,0))&amp;""</f>
        <v/>
      </c>
      <c r="H35" s="4">
        <f>IF(AND(INDEX('Nomes-base'!B:B,MATCH(F35,'Nomes-base'!A:A,0))="f",INDEX('Peça 2'!G:G,MATCH(E35,'Peça 2'!A:A,0))&amp;""&lt;&gt;""),INDEX('Peça 2'!G:G,MATCH(E35,'Peça 2'!A:A,0))&amp;"",INDEX('Peça 2'!F:F,MATCH(E35,'Peça 2'!A:A,0))&amp;"")</f>
        <v/>
      </c>
      <c r="I35" s="4">
        <f>IF(OR(H35="",ISNUMBER(SEARCH(" ",H35)),INDEX('Nomes-base'!C:C,MATCH(F35,'Nomes-base'!A:A,0))&lt;&gt;"p"),H35,IF(RIGHT(H35,1)="s",H35,IF(RIGHT(H35,1)="l",LEFT(H35,LEN(H35)-1)&amp;"is",IF(OR(RIGHT(H35,1)="r",RIGHT(H35,1)="z"),H35&amp;"es",IF(RIGHT(H35,1)="m",LEFT(H35,LEN(H35)-1)&amp;"ns",H35&amp;"s")))))</f>
        <v/>
      </c>
    </row>
    <row r="36">
      <c r="A36" s="3">
        <f>IF(OR(G36="",I36=""),"(falta traduzir)",F36&amp;" "&amp;I36&amp;" "&amp;G36)</f>
        <v/>
      </c>
      <c r="B36" t="inlineStr">
        <is>
          <t>舞虹诀</t>
        </is>
      </c>
      <c r="C36" t="inlineStr">
        <is>
          <t>Dancer's Prismic Guide</t>
        </is>
      </c>
      <c r="D36" t="n">
        <v>2</v>
      </c>
      <c r="E36" t="n">
        <v>274</v>
      </c>
      <c r="F36" t="inlineStr">
        <is>
          <t>Guia</t>
        </is>
      </c>
      <c r="G36" s="4">
        <f>INDEX('Peça 1'!F:F,MATCH(D36,'Peça 1'!A:A,0))&amp;""</f>
        <v/>
      </c>
      <c r="H36" s="4">
        <f>IF(AND(INDEX('Nomes-base'!B:B,MATCH(F36,'Nomes-base'!A:A,0))="f",INDEX('Peça 2'!G:G,MATCH(E36,'Peça 2'!A:A,0))&amp;""&lt;&gt;""),INDEX('Peça 2'!G:G,MATCH(E36,'Peça 2'!A:A,0))&amp;"",INDEX('Peça 2'!F:F,MATCH(E36,'Peça 2'!A:A,0))&amp;"")</f>
        <v/>
      </c>
      <c r="I36" s="4">
        <f>IF(OR(H36="",ISNUMBER(SEARCH(" ",H36)),INDEX('Nomes-base'!C:C,MATCH(F36,'Nomes-base'!A:A,0))&lt;&gt;"p"),H36,IF(RIGHT(H36,1)="s",H36,IF(RIGHT(H36,1)="l",LEFT(H36,LEN(H36)-1)&amp;"is",IF(OR(RIGHT(H36,1)="r",RIGHT(H36,1)="z"),H36&amp;"es",IF(RIGHT(H36,1)="m",LEFT(H36,LEN(H36)-1)&amp;"ns",H36&amp;"s")))))</f>
        <v/>
      </c>
    </row>
    <row r="37">
      <c r="A37" s="3">
        <f>IF(OR(G37="",I37=""),"(falta traduzir)",F37&amp;" "&amp;I37&amp;" "&amp;G37)</f>
        <v/>
      </c>
      <c r="B37" t="inlineStr">
        <is>
          <t>吹刃落石术</t>
        </is>
      </c>
      <c r="C37" t="inlineStr">
        <is>
          <t>Blower's Bladed Falling Rock</t>
        </is>
      </c>
      <c r="D37" t="n">
        <v>3</v>
      </c>
      <c r="E37" t="n">
        <v>347</v>
      </c>
      <c r="F37" t="inlineStr">
        <is>
          <t>Queda de Rochas</t>
        </is>
      </c>
      <c r="G37" s="4">
        <f>INDEX('Peça 1'!F:F,MATCH(D37,'Peça 1'!A:A,0))&amp;""</f>
        <v/>
      </c>
      <c r="H37" s="4">
        <f>IF(AND(INDEX('Nomes-base'!B:B,MATCH(F37,'Nomes-base'!A:A,0))="f",INDEX('Peça 2'!G:G,MATCH(E37,'Peça 2'!A:A,0))&amp;""&lt;&gt;""),INDEX('Peça 2'!G:G,MATCH(E37,'Peça 2'!A:A,0))&amp;"",INDEX('Peça 2'!F:F,MATCH(E37,'Peça 2'!A:A,0))&amp;"")</f>
        <v/>
      </c>
      <c r="I37" s="4">
        <f>IF(OR(H37="",ISNUMBER(SEARCH(" ",H37)),INDEX('Nomes-base'!C:C,MATCH(F37,'Nomes-base'!A:A,0))&lt;&gt;"p"),H37,IF(RIGHT(H37,1)="s",H37,IF(RIGHT(H37,1)="l",LEFT(H37,LEN(H37)-1)&amp;"is",IF(OR(RIGHT(H37,1)="r",RIGHT(H37,1)="z"),H37&amp;"es",IF(RIGHT(H37,1)="m",LEFT(H37,LEN(H37)-1)&amp;"ns",H37&amp;"s")))))</f>
        <v/>
      </c>
    </row>
    <row r="38">
      <c r="A38" s="3">
        <f>IF(OR(G38="",I38=""),"(falta traduzir)",F38&amp;" "&amp;I38&amp;" "&amp;G38)</f>
        <v/>
      </c>
      <c r="B38" t="inlineStr">
        <is>
          <t>落尘疾龙破</t>
        </is>
      </c>
      <c r="C38" t="inlineStr">
        <is>
          <t>Fallen's Dusted Sprinting Dragon Rising</t>
        </is>
      </c>
      <c r="D38" t="n">
        <v>4</v>
      </c>
      <c r="E38" t="n">
        <v>220</v>
      </c>
      <c r="F38" t="inlineStr">
        <is>
          <t>Ascensão do Dragão Veloz</t>
        </is>
      </c>
      <c r="G38" s="4">
        <f>INDEX('Peça 1'!F:F,MATCH(D38,'Peça 1'!A:A,0))&amp;""</f>
        <v/>
      </c>
      <c r="H38" s="4">
        <f>IF(AND(INDEX('Nomes-base'!B:B,MATCH(F38,'Nomes-base'!A:A,0))="f",INDEX('Peça 2'!G:G,MATCH(E38,'Peça 2'!A:A,0))&amp;""&lt;&gt;""),INDEX('Peça 2'!G:G,MATCH(E38,'Peça 2'!A:A,0))&amp;"",INDEX('Peça 2'!F:F,MATCH(E38,'Peça 2'!A:A,0))&amp;"")</f>
        <v/>
      </c>
      <c r="I38" s="4">
        <f>IF(OR(H38="",ISNUMBER(SEARCH(" ",H38)),INDEX('Nomes-base'!C:C,MATCH(F38,'Nomes-base'!A:A,0))&lt;&gt;"p"),H38,IF(RIGHT(H38,1)="s",H38,IF(RIGHT(H38,1)="l",LEFT(H38,LEN(H38)-1)&amp;"is",IF(OR(RIGHT(H38,1)="r",RIGHT(H38,1)="z"),H38&amp;"es",IF(RIGHT(H38,1)="m",LEFT(H38,LEN(H38)-1)&amp;"ns",H38&amp;"s")))))</f>
        <v/>
      </c>
    </row>
    <row r="39">
      <c r="A39" s="3">
        <f>IF(OR(G39="",I39=""),"(falta traduzir)",F39&amp;" "&amp;I39&amp;" "&amp;G39)</f>
        <v/>
      </c>
      <c r="B39" t="inlineStr">
        <is>
          <t>飘辰跃</t>
        </is>
      </c>
      <c r="C39" t="inlineStr">
        <is>
          <t>Drifter's Dawning Leap</t>
        </is>
      </c>
      <c r="D39" t="n">
        <v>5</v>
      </c>
      <c r="E39" t="n">
        <v>293</v>
      </c>
      <c r="F39" t="inlineStr">
        <is>
          <t>Salto</t>
        </is>
      </c>
      <c r="G39" s="4">
        <f>INDEX('Peça 1'!F:F,MATCH(D39,'Peça 1'!A:A,0))&amp;""</f>
        <v/>
      </c>
      <c r="H39" s="4">
        <f>IF(AND(INDEX('Nomes-base'!B:B,MATCH(F39,'Nomes-base'!A:A,0))="f",INDEX('Peça 2'!G:G,MATCH(E39,'Peça 2'!A:A,0))&amp;""&lt;&gt;""),INDEX('Peça 2'!G:G,MATCH(E39,'Peça 2'!A:A,0))&amp;"",INDEX('Peça 2'!F:F,MATCH(E39,'Peça 2'!A:A,0))&amp;"")</f>
        <v/>
      </c>
      <c r="I39" s="4">
        <f>IF(OR(H39="",ISNUMBER(SEARCH(" ",H39)),INDEX('Nomes-base'!C:C,MATCH(F39,'Nomes-base'!A:A,0))&lt;&gt;"p"),H39,IF(RIGHT(H39,1)="s",H39,IF(RIGHT(H39,1)="l",LEFT(H39,LEN(H39)-1)&amp;"is",IF(OR(RIGHT(H39,1)="r",RIGHT(H39,1)="z"),H39&amp;"es",IF(RIGHT(H39,1)="m",LEFT(H39,LEN(H39)-1)&amp;"ns",H39&amp;"s")))))</f>
        <v/>
      </c>
    </row>
    <row r="40">
      <c r="A40" s="3">
        <f>IF(OR(G40="",I40=""),"(falta traduzir)",F40&amp;" "&amp;I40&amp;" "&amp;G40)</f>
        <v/>
      </c>
      <c r="B40" t="inlineStr">
        <is>
          <t>斩罗御术</t>
        </is>
      </c>
      <c r="C40" t="inlineStr">
        <is>
          <t>Cutter's Silken Drift</t>
        </is>
      </c>
      <c r="D40" t="n">
        <v>6</v>
      </c>
      <c r="E40" t="n">
        <v>366</v>
      </c>
      <c r="F40" t="inlineStr">
        <is>
          <t>Deriva</t>
        </is>
      </c>
      <c r="G40" s="4">
        <f>INDEX('Peça 1'!F:F,MATCH(D40,'Peça 1'!A:A,0))&amp;""</f>
        <v/>
      </c>
      <c r="H40" s="4">
        <f>IF(AND(INDEX('Nomes-base'!B:B,MATCH(F40,'Nomes-base'!A:A,0))="f",INDEX('Peça 2'!G:G,MATCH(E40,'Peça 2'!A:A,0))&amp;""&lt;&gt;""),INDEX('Peça 2'!G:G,MATCH(E40,'Peça 2'!A:A,0))&amp;"",INDEX('Peça 2'!F:F,MATCH(E40,'Peça 2'!A:A,0))&amp;"")</f>
        <v/>
      </c>
      <c r="I40" s="4">
        <f>IF(OR(H40="",ISNUMBER(SEARCH(" ",H40)),INDEX('Nomes-base'!C:C,MATCH(F40,'Nomes-base'!A:A,0))&lt;&gt;"p"),H40,IF(RIGHT(H40,1)="s",H40,IF(RIGHT(H40,1)="l",LEFT(H40,LEN(H40)-1)&amp;"is",IF(OR(RIGHT(H40,1)="r",RIGHT(H40,1)="z"),H40&amp;"es",IF(RIGHT(H40,1)="m",LEFT(H40,LEN(H40)-1)&amp;"ns",H40&amp;"s")))))</f>
        <v/>
      </c>
    </row>
    <row r="41">
      <c r="A41" s="3">
        <f>IF(OR(G41="",I41=""),"(falta traduzir)",F41&amp;" "&amp;I41&amp;" "&amp;G41)</f>
        <v/>
      </c>
      <c r="B41" t="inlineStr">
        <is>
          <t>断烟经</t>
        </is>
      </c>
      <c r="C41" t="inlineStr">
        <is>
          <t>Taken's Smoky Sutra</t>
        </is>
      </c>
      <c r="D41" t="n">
        <v>7</v>
      </c>
      <c r="E41" t="n">
        <v>239</v>
      </c>
      <c r="F41" t="inlineStr">
        <is>
          <t>Sutra</t>
        </is>
      </c>
      <c r="G41" s="4">
        <f>INDEX('Peça 1'!F:F,MATCH(D41,'Peça 1'!A:A,0))&amp;""</f>
        <v/>
      </c>
      <c r="H41" s="4">
        <f>IF(AND(INDEX('Nomes-base'!B:B,MATCH(F41,'Nomes-base'!A:A,0))="f",INDEX('Peça 2'!G:G,MATCH(E41,'Peça 2'!A:A,0))&amp;""&lt;&gt;""),INDEX('Peça 2'!G:G,MATCH(E41,'Peça 2'!A:A,0))&amp;"",INDEX('Peça 2'!F:F,MATCH(E41,'Peça 2'!A:A,0))&amp;"")</f>
        <v/>
      </c>
      <c r="I41" s="4">
        <f>IF(OR(H41="",ISNUMBER(SEARCH(" ",H41)),INDEX('Nomes-base'!C:C,MATCH(F41,'Nomes-base'!A:A,0))&lt;&gt;"p"),H41,IF(RIGHT(H41,1)="s",H41,IF(RIGHT(H41,1)="l",LEFT(H41,LEN(H41)-1)&amp;"is",IF(OR(RIGHT(H41,1)="r",RIGHT(H41,1)="z"),H41&amp;"es",IF(RIGHT(H41,1)="m",LEFT(H41,LEN(H41)-1)&amp;"ns",H41&amp;"s")))))</f>
        <v/>
      </c>
    </row>
    <row r="42">
      <c r="A42" s="3">
        <f>IF(OR(G42="",I42=""),"(falta traduzir)",F42&amp;" "&amp;I42&amp;" "&amp;G42)</f>
        <v/>
      </c>
      <c r="B42" t="inlineStr">
        <is>
          <t>凝扫贯龙枪</t>
        </is>
      </c>
      <c r="C42" t="inlineStr">
        <is>
          <t>Thinker's Sweeping Splitting Dragon Spear</t>
        </is>
      </c>
      <c r="D42" t="n">
        <v>8</v>
      </c>
      <c r="E42" t="n">
        <v>312</v>
      </c>
      <c r="F42" t="inlineStr">
        <is>
          <t>Lança do Dragão Fendente</t>
        </is>
      </c>
      <c r="G42" s="4">
        <f>INDEX('Peça 1'!F:F,MATCH(D42,'Peça 1'!A:A,0))&amp;""</f>
        <v/>
      </c>
      <c r="H42" s="4">
        <f>IF(AND(INDEX('Nomes-base'!B:B,MATCH(F42,'Nomes-base'!A:A,0))="f",INDEX('Peça 2'!G:G,MATCH(E42,'Peça 2'!A:A,0))&amp;""&lt;&gt;""),INDEX('Peça 2'!G:G,MATCH(E42,'Peça 2'!A:A,0))&amp;"",INDEX('Peça 2'!F:F,MATCH(E42,'Peça 2'!A:A,0))&amp;"")</f>
        <v/>
      </c>
      <c r="I42" s="4">
        <f>IF(OR(H42="",ISNUMBER(SEARCH(" ",H42)),INDEX('Nomes-base'!C:C,MATCH(F42,'Nomes-base'!A:A,0))&lt;&gt;"p"),H42,IF(RIGHT(H42,1)="s",H42,IF(RIGHT(H42,1)="l",LEFT(H42,LEN(H42)-1)&amp;"is",IF(OR(RIGHT(H42,1)="r",RIGHT(H42,1)="z"),H42&amp;"es",IF(RIGHT(H42,1)="m",LEFT(H42,LEN(H42)-1)&amp;"ns",H42&amp;"s")))))</f>
        <v/>
      </c>
    </row>
    <row r="43">
      <c r="A43" s="3">
        <f>IF(OR(G43="",I43=""),"(falta traduzir)",F43&amp;" "&amp;I43&amp;" "&amp;G43)</f>
        <v/>
      </c>
      <c r="B43" t="inlineStr">
        <is>
          <t>破命毒沼术</t>
        </is>
      </c>
      <c r="C43" t="inlineStr">
        <is>
          <t>Ravager's Living Poisonous Marsh</t>
        </is>
      </c>
      <c r="D43" t="n">
        <v>9</v>
      </c>
      <c r="E43" t="n">
        <v>385</v>
      </c>
      <c r="F43" t="inlineStr">
        <is>
          <t>Pântano Venenoso</t>
        </is>
      </c>
      <c r="G43" s="4">
        <f>INDEX('Peça 1'!F:F,MATCH(D43,'Peça 1'!A:A,0))&amp;""</f>
        <v/>
      </c>
      <c r="H43" s="4">
        <f>IF(AND(INDEX('Nomes-base'!B:B,MATCH(F43,'Nomes-base'!A:A,0))="f",INDEX('Peça 2'!G:G,MATCH(E43,'Peça 2'!A:A,0))&amp;""&lt;&gt;""),INDEX('Peça 2'!G:G,MATCH(E43,'Peça 2'!A:A,0))&amp;"",INDEX('Peça 2'!F:F,MATCH(E43,'Peça 2'!A:A,0))&amp;"")</f>
        <v/>
      </c>
      <c r="I43" s="4">
        <f>IF(OR(H43="",ISNUMBER(SEARCH(" ",H43)),INDEX('Nomes-base'!C:C,MATCH(F43,'Nomes-base'!A:A,0))&lt;&gt;"p"),H43,IF(RIGHT(H43,1)="s",H43,IF(RIGHT(H43,1)="l",LEFT(H43,LEN(H43)-1)&amp;"is",IF(OR(RIGHT(H43,1)="r",RIGHT(H43,1)="z"),H43&amp;"es",IF(RIGHT(H43,1)="m",LEFT(H43,LEN(H43)-1)&amp;"ns",H43&amp;"s")))))</f>
        <v/>
      </c>
    </row>
    <row r="44">
      <c r="A44" s="3">
        <f>IF(OR(G44="",I44=""),"(falta traduzir)",F44&amp;" "&amp;I44&amp;" "&amp;G44)</f>
        <v/>
      </c>
      <c r="B44" t="inlineStr">
        <is>
          <t>握圣怒血斩</t>
        </is>
      </c>
      <c r="C44" t="inlineStr">
        <is>
          <t>Holder's Divine Furyblood Cleave</t>
        </is>
      </c>
      <c r="D44" t="n">
        <v>10</v>
      </c>
      <c r="E44" t="n">
        <v>258</v>
      </c>
      <c r="F44" t="inlineStr">
        <is>
          <t>Corte do Sangue Furioso</t>
        </is>
      </c>
      <c r="G44" s="4">
        <f>INDEX('Peça 1'!F:F,MATCH(D44,'Peça 1'!A:A,0))&amp;""</f>
        <v/>
      </c>
      <c r="H44" s="4">
        <f>IF(AND(INDEX('Nomes-base'!B:B,MATCH(F44,'Nomes-base'!A:A,0))="f",INDEX('Peça 2'!G:G,MATCH(E44,'Peça 2'!A:A,0))&amp;""&lt;&gt;""),INDEX('Peça 2'!G:G,MATCH(E44,'Peça 2'!A:A,0))&amp;"",INDEX('Peça 2'!F:F,MATCH(E44,'Peça 2'!A:A,0))&amp;"")</f>
        <v/>
      </c>
      <c r="I44" s="4">
        <f>IF(OR(H44="",ISNUMBER(SEARCH(" ",H44)),INDEX('Nomes-base'!C:C,MATCH(F44,'Nomes-base'!A:A,0))&lt;&gt;"p"),H44,IF(RIGHT(H44,1)="s",H44,IF(RIGHT(H44,1)="l",LEFT(H44,LEN(H44)-1)&amp;"is",IF(OR(RIGHT(H44,1)="r",RIGHT(H44,1)="z"),H44&amp;"es",IF(RIGHT(H44,1)="m",LEFT(H44,LEN(H44)-1)&amp;"ns",H44&amp;"s")))))</f>
        <v/>
      </c>
    </row>
    <row r="45">
      <c r="A45" s="3">
        <f>IF(OR(G45="",I45=""),"(falta traduzir)",F45&amp;" "&amp;I45&amp;" "&amp;G45)</f>
        <v/>
      </c>
      <c r="B45" t="inlineStr">
        <is>
          <t>撕象遁</t>
        </is>
      </c>
      <c r="C45" t="inlineStr">
        <is>
          <t>Slicer's Phenomenal Burrow</t>
        </is>
      </c>
      <c r="D45" t="n">
        <v>11</v>
      </c>
      <c r="E45" t="n">
        <v>331</v>
      </c>
      <c r="F45" t="inlineStr">
        <is>
          <t>Escavação</t>
        </is>
      </c>
      <c r="G45" s="4">
        <f>INDEX('Peça 1'!F:F,MATCH(D45,'Peça 1'!A:A,0))&amp;""</f>
        <v/>
      </c>
      <c r="H45" s="4">
        <f>IF(AND(INDEX('Nomes-base'!B:B,MATCH(F45,'Nomes-base'!A:A,0))="f",INDEX('Peça 2'!G:G,MATCH(E45,'Peça 2'!A:A,0))&amp;""&lt;&gt;""),INDEX('Peça 2'!G:G,MATCH(E45,'Peça 2'!A:A,0))&amp;"",INDEX('Peça 2'!F:F,MATCH(E45,'Peça 2'!A:A,0))&amp;"")</f>
        <v/>
      </c>
      <c r="I45" s="4">
        <f>IF(OR(H45="",ISNUMBER(SEARCH(" ",H45)),INDEX('Nomes-base'!C:C,MATCH(F45,'Nomes-base'!A:A,0))&lt;&gt;"p"),H45,IF(RIGHT(H45,1)="s",H45,IF(RIGHT(H45,1)="l",LEFT(H45,LEN(H45)-1)&amp;"is",IF(OR(RIGHT(H45,1)="r",RIGHT(H45,1)="z"),H45&amp;"es",IF(RIGHT(H45,1)="m",LEFT(H45,LEN(H45)-1)&amp;"ns",H45&amp;"s")))))</f>
        <v/>
      </c>
    </row>
    <row r="46">
      <c r="A46" s="3">
        <f>IF(OR(G46="",I46=""),"(falta traduzir)",F46&amp;" "&amp;I46&amp;" "&amp;G46)</f>
        <v/>
      </c>
      <c r="B46" t="inlineStr">
        <is>
          <t>聚雪影</t>
        </is>
      </c>
      <c r="C46" t="inlineStr">
        <is>
          <t>Fixer's Frozen Shadow</t>
        </is>
      </c>
      <c r="D46" t="n">
        <v>12</v>
      </c>
      <c r="E46" t="n">
        <v>204</v>
      </c>
      <c r="F46" t="inlineStr">
        <is>
          <t>Sombra</t>
        </is>
      </c>
      <c r="G46" s="4">
        <f>INDEX('Peça 1'!F:F,MATCH(D46,'Peça 1'!A:A,0))&amp;""</f>
        <v/>
      </c>
      <c r="H46" s="4">
        <f>IF(AND(INDEX('Nomes-base'!B:B,MATCH(F46,'Nomes-base'!A:A,0))="f",INDEX('Peça 2'!G:G,MATCH(E46,'Peça 2'!A:A,0))&amp;""&lt;&gt;""),INDEX('Peça 2'!G:G,MATCH(E46,'Peça 2'!A:A,0))&amp;"",INDEX('Peça 2'!F:F,MATCH(E46,'Peça 2'!A:A,0))&amp;"")</f>
        <v/>
      </c>
      <c r="I46" s="4">
        <f>IF(OR(H46="",ISNUMBER(SEARCH(" ",H46)),INDEX('Nomes-base'!C:C,MATCH(F46,'Nomes-base'!A:A,0))&lt;&gt;"p"),H46,IF(RIGHT(H46,1)="s",H46,IF(RIGHT(H46,1)="l",LEFT(H46,LEN(H46)-1)&amp;"is",IF(OR(RIGHT(H46,1)="r",RIGHT(H46,1)="z"),H46&amp;"es",IF(RIGHT(H46,1)="m",LEFT(H46,LEN(H46)-1)&amp;"ns",H46&amp;"s")))))</f>
        <v/>
      </c>
    </row>
    <row r="47">
      <c r="A47" s="3">
        <f>IF(OR(G47="",I47=""),"(falta traduzir)",F47&amp;" "&amp;I47&amp;" "&amp;G47)</f>
        <v/>
      </c>
      <c r="B47" t="inlineStr">
        <is>
          <t>归岚录</t>
        </is>
      </c>
      <c r="C47" t="inlineStr">
        <is>
          <t>Returner's Stormy Compendium</t>
        </is>
      </c>
      <c r="D47" t="n">
        <v>13</v>
      </c>
      <c r="E47" t="n">
        <v>277</v>
      </c>
      <c r="F47" t="inlineStr">
        <is>
          <t>Compêndio</t>
        </is>
      </c>
      <c r="G47" s="4">
        <f>INDEX('Peça 1'!F:F,MATCH(D47,'Peça 1'!A:A,0))&amp;""</f>
        <v/>
      </c>
      <c r="H47" s="4">
        <f>IF(AND(INDEX('Nomes-base'!B:B,MATCH(F47,'Nomes-base'!A:A,0))="f",INDEX('Peça 2'!G:G,MATCH(E47,'Peça 2'!A:A,0))&amp;""&lt;&gt;""),INDEX('Peça 2'!G:G,MATCH(E47,'Peça 2'!A:A,0))&amp;"",INDEX('Peça 2'!F:F,MATCH(E47,'Peça 2'!A:A,0))&amp;"")</f>
        <v/>
      </c>
      <c r="I47" s="4">
        <f>IF(OR(H47="",ISNUMBER(SEARCH(" ",H47)),INDEX('Nomes-base'!C:C,MATCH(F47,'Nomes-base'!A:A,0))&lt;&gt;"p"),H47,IF(RIGHT(H47,1)="s",H47,IF(RIGHT(H47,1)="l",LEFT(H47,LEN(H47)-1)&amp;"is",IF(OR(RIGHT(H47,1)="r",RIGHT(H47,1)="z"),H47&amp;"es",IF(RIGHT(H47,1)="m",LEFT(H47,LEN(H47)-1)&amp;"ns",H47&amp;"s")))))</f>
        <v/>
      </c>
    </row>
    <row r="48">
      <c r="A48" s="3">
        <f>IF(OR(G48="",I48=""),"(falta traduzir)",F48&amp;" "&amp;I48&amp;" "&amp;G48)</f>
        <v/>
      </c>
      <c r="B48" t="inlineStr">
        <is>
          <t>炼玑雷光术</t>
        </is>
      </c>
      <c r="C48" t="inlineStr">
        <is>
          <t>Forger's Pearl Voltshot</t>
        </is>
      </c>
      <c r="D48" t="n">
        <v>14</v>
      </c>
      <c r="E48" t="n">
        <v>350</v>
      </c>
      <c r="F48" t="inlineStr">
        <is>
          <t>Disparo Elétrico</t>
        </is>
      </c>
      <c r="G48" s="4">
        <f>INDEX('Peça 1'!F:F,MATCH(D48,'Peça 1'!A:A,0))&amp;""</f>
        <v/>
      </c>
      <c r="H48" s="4">
        <f>IF(AND(INDEX('Nomes-base'!B:B,MATCH(F48,'Nomes-base'!A:A,0))="f",INDEX('Peça 2'!G:G,MATCH(E48,'Peça 2'!A:A,0))&amp;""&lt;&gt;""),INDEX('Peça 2'!G:G,MATCH(E48,'Peça 2'!A:A,0))&amp;"",INDEX('Peça 2'!F:F,MATCH(E48,'Peça 2'!A:A,0))&amp;"")</f>
        <v/>
      </c>
      <c r="I48" s="4">
        <f>IF(OR(H48="",ISNUMBER(SEARCH(" ",H48)),INDEX('Nomes-base'!C:C,MATCH(F48,'Nomes-base'!A:A,0))&lt;&gt;"p"),H48,IF(RIGHT(H48,1)="s",H48,IF(RIGHT(H48,1)="l",LEFT(H48,LEN(H48)-1)&amp;"is",IF(OR(RIGHT(H48,1)="r",RIGHT(H48,1)="z"),H48&amp;"es",IF(RIGHT(H48,1)="m",LEFT(H48,LEN(H48)-1)&amp;"ns",H48&amp;"s")))))</f>
        <v/>
      </c>
    </row>
    <row r="49">
      <c r="A49" s="3">
        <f>IF(OR(G49="",I49=""),"(falta traduzir)",F49&amp;" "&amp;I49&amp;" "&amp;G49)</f>
        <v/>
      </c>
      <c r="B49" t="inlineStr">
        <is>
          <t>焚痕霜灵爆</t>
        </is>
      </c>
      <c r="C49" t="inlineStr">
        <is>
          <t>Burner's Wounded Frost Spirit Blast</t>
        </is>
      </c>
      <c r="D49" t="n">
        <v>15</v>
      </c>
      <c r="E49" t="n">
        <v>223</v>
      </c>
      <c r="F49" t="inlineStr">
        <is>
          <t>Explosão de Espírito Gélido</t>
        </is>
      </c>
      <c r="G49" s="4">
        <f>INDEX('Peça 1'!F:F,MATCH(D49,'Peça 1'!A:A,0))&amp;""</f>
        <v/>
      </c>
      <c r="H49" s="4">
        <f>IF(AND(INDEX('Nomes-base'!B:B,MATCH(F49,'Nomes-base'!A:A,0))="f",INDEX('Peça 2'!G:G,MATCH(E49,'Peça 2'!A:A,0))&amp;""&lt;&gt;""),INDEX('Peça 2'!G:G,MATCH(E49,'Peça 2'!A:A,0))&amp;"",INDEX('Peça 2'!F:F,MATCH(E49,'Peça 2'!A:A,0))&amp;"")</f>
        <v/>
      </c>
      <c r="I49" s="4">
        <f>IF(OR(H49="",ISNUMBER(SEARCH(" ",H49)),INDEX('Nomes-base'!C:C,MATCH(F49,'Nomes-base'!A:A,0))&lt;&gt;"p"),H49,IF(RIGHT(H49,1)="s",H49,IF(RIGHT(H49,1)="l",LEFT(H49,LEN(H49)-1)&amp;"is",IF(OR(RIGHT(H49,1)="r",RIGHT(H49,1)="z"),H49&amp;"es",IF(RIGHT(H49,1)="m",LEFT(H49,LEN(H49)-1)&amp;"ns",H49&amp;"s")))))</f>
        <v/>
      </c>
    </row>
    <row r="50">
      <c r="A50" s="3">
        <f>IF(OR(G50="",I50=""),"(falta traduzir)",F50&amp;" "&amp;I50&amp;" "&amp;G50)</f>
        <v/>
      </c>
      <c r="B50" t="inlineStr">
        <is>
          <t>崩崖幻</t>
        </is>
      </c>
      <c r="C50" t="inlineStr">
        <is>
          <t>Befallen's Steep Illusion</t>
        </is>
      </c>
      <c r="D50" t="n">
        <v>16</v>
      </c>
      <c r="E50" t="n">
        <v>296</v>
      </c>
      <c r="F50" t="inlineStr">
        <is>
          <t>Ilusão</t>
        </is>
      </c>
      <c r="G50" s="4">
        <f>INDEX('Peça 1'!F:F,MATCH(D50,'Peça 1'!A:A,0))&amp;""</f>
        <v/>
      </c>
      <c r="H50" s="4">
        <f>IF(AND(INDEX('Nomes-base'!B:B,MATCH(F50,'Nomes-base'!A:A,0))="f",INDEX('Peça 2'!G:G,MATCH(E50,'Peça 2'!A:A,0))&amp;""&lt;&gt;""),INDEX('Peça 2'!G:G,MATCH(E50,'Peça 2'!A:A,0))&amp;"",INDEX('Peça 2'!F:F,MATCH(E50,'Peça 2'!A:A,0))&amp;"")</f>
        <v/>
      </c>
      <c r="I50" s="4">
        <f>IF(OR(H50="",ISNUMBER(SEARCH(" ",H50)),INDEX('Nomes-base'!C:C,MATCH(F50,'Nomes-base'!A:A,0))&lt;&gt;"p"),H50,IF(RIGHT(H50,1)="s",H50,IF(RIGHT(H50,1)="l",LEFT(H50,LEN(H50)-1)&amp;"is",IF(OR(RIGHT(H50,1)="r",RIGHT(H50,1)="z"),H50&amp;"es",IF(RIGHT(H50,1)="m",LEFT(H50,LEN(H50)-1)&amp;"ns",H50&amp;"s")))))</f>
        <v/>
      </c>
    </row>
    <row r="51">
      <c r="A51" s="3">
        <f>IF(OR(G51="",I51=""),"(falta traduzir)",F51&amp;" "&amp;I51&amp;" "&amp;G51)</f>
        <v/>
      </c>
      <c r="B51" t="inlineStr">
        <is>
          <t>灼磐冲</t>
        </is>
      </c>
      <c r="C51" t="inlineStr">
        <is>
          <t>Seer's Solid Charge</t>
        </is>
      </c>
      <c r="D51" t="n">
        <v>17</v>
      </c>
      <c r="E51" t="n">
        <v>369</v>
      </c>
      <c r="F51" t="inlineStr">
        <is>
          <t>Carga</t>
        </is>
      </c>
      <c r="G51" s="4">
        <f>INDEX('Peça 1'!F:F,MATCH(D51,'Peça 1'!A:A,0))&amp;""</f>
        <v/>
      </c>
      <c r="H51" s="4">
        <f>IF(AND(INDEX('Nomes-base'!B:B,MATCH(F51,'Nomes-base'!A:A,0))="f",INDEX('Peça 2'!G:G,MATCH(E51,'Peça 2'!A:A,0))&amp;""&lt;&gt;""),INDEX('Peça 2'!G:G,MATCH(E51,'Peça 2'!A:A,0))&amp;"",INDEX('Peça 2'!F:F,MATCH(E51,'Peça 2'!A:A,0))&amp;"")</f>
        <v/>
      </c>
      <c r="I51" s="4">
        <f>IF(OR(H51="",ISNUMBER(SEARCH(" ",H51)),INDEX('Nomes-base'!C:C,MATCH(F51,'Nomes-base'!A:A,0))&lt;&gt;"p"),H51,IF(RIGHT(H51,1)="s",H51,IF(RIGHT(H51,1)="l",LEFT(H51,LEN(H51)-1)&amp;"is",IF(OR(RIGHT(H51,1)="r",RIGHT(H51,1)="z"),H51&amp;"es",IF(RIGHT(H51,1)="m",LEFT(H51,LEN(H51)-1)&amp;"ns",H51&amp;"s")))))</f>
        <v/>
      </c>
    </row>
    <row r="52">
      <c r="A52" s="3">
        <f>IF(OR(G52="",I52=""),"(falta traduzir)",F52&amp;" "&amp;I52&amp;" "&amp;G52)</f>
        <v/>
      </c>
      <c r="B52" t="inlineStr">
        <is>
          <t>定樱劲</t>
        </is>
      </c>
      <c r="C52" t="inlineStr">
        <is>
          <t>Quietude's Cherry Move</t>
        </is>
      </c>
      <c r="D52" t="n">
        <v>18</v>
      </c>
      <c r="E52" t="n">
        <v>242</v>
      </c>
      <c r="F52" t="inlineStr">
        <is>
          <t>Movimentação</t>
        </is>
      </c>
      <c r="G52" s="4">
        <f>INDEX('Peça 1'!F:F,MATCH(D52,'Peça 1'!A:A,0))&amp;""</f>
        <v/>
      </c>
      <c r="H52" s="4">
        <f>IF(AND(INDEX('Nomes-base'!B:B,MATCH(F52,'Nomes-base'!A:A,0))="f",INDEX('Peça 2'!G:G,MATCH(E52,'Peça 2'!A:A,0))&amp;""&lt;&gt;""),INDEX('Peça 2'!G:G,MATCH(E52,'Peça 2'!A:A,0))&amp;"",INDEX('Peça 2'!F:F,MATCH(E52,'Peça 2'!A:A,0))&amp;"")</f>
        <v/>
      </c>
      <c r="I52" s="4">
        <f>IF(OR(H52="",ISNUMBER(SEARCH(" ",H52)),INDEX('Nomes-base'!C:C,MATCH(F52,'Nomes-base'!A:A,0))&lt;&gt;"p"),H52,IF(RIGHT(H52,1)="s",H52,IF(RIGHT(H52,1)="l",LEFT(H52,LEN(H52)-1)&amp;"is",IF(OR(RIGHT(H52,1)="r",RIGHT(H52,1)="z"),H52&amp;"es",IF(RIGHT(H52,1)="m",LEFT(H52,LEN(H52)-1)&amp;"ns",H52&amp;"s")))))</f>
        <v/>
      </c>
    </row>
    <row r="53">
      <c r="A53" s="3">
        <f>IF(OR(G53="",I53=""),"(falta traduzir)",F53&amp;" "&amp;I53&amp;" "&amp;G53)</f>
        <v/>
      </c>
      <c r="B53" t="inlineStr">
        <is>
          <t>穿体青涛掌</t>
        </is>
      </c>
      <c r="C53" t="inlineStr">
        <is>
          <t>Warrior's Bodily Greenwave Palm</t>
        </is>
      </c>
      <c r="D53" t="n">
        <v>19</v>
      </c>
      <c r="E53" t="n">
        <v>315</v>
      </c>
      <c r="F53" t="inlineStr">
        <is>
          <t>Palma da Onda Verde</t>
        </is>
      </c>
      <c r="G53" s="4">
        <f>INDEX('Peça 1'!F:F,MATCH(D53,'Peça 1'!A:A,0))&amp;""</f>
        <v/>
      </c>
      <c r="H53" s="4">
        <f>IF(AND(INDEX('Nomes-base'!B:B,MATCH(F53,'Nomes-base'!A:A,0))="f",INDEX('Peça 2'!G:G,MATCH(E53,'Peça 2'!A:A,0))&amp;""&lt;&gt;""),INDEX('Peça 2'!G:G,MATCH(E53,'Peça 2'!A:A,0))&amp;"",INDEX('Peça 2'!F:F,MATCH(E53,'Peça 2'!A:A,0))&amp;"")</f>
        <v/>
      </c>
      <c r="I53" s="4">
        <f>IF(OR(H53="",ISNUMBER(SEARCH(" ",H53)),INDEX('Nomes-base'!C:C,MATCH(F53,'Nomes-base'!A:A,0))&lt;&gt;"p"),H53,IF(RIGHT(H53,1)="s",H53,IF(RIGHT(H53,1)="l",LEFT(H53,LEN(H53)-1)&amp;"is",IF(OR(RIGHT(H53,1)="r",RIGHT(H53,1)="z"),H53&amp;"es",IF(RIGHT(H53,1)="m",LEFT(H53,LEN(H53)-1)&amp;"ns",H53&amp;"s")))))</f>
        <v/>
      </c>
    </row>
    <row r="54">
      <c r="A54" s="3">
        <f>IF(OR(G54="",I54=""),"(falta traduzir)",F54&amp;" "&amp;I54&amp;" "&amp;G54)</f>
        <v/>
      </c>
      <c r="B54" t="inlineStr">
        <is>
          <t>封燃灵虚爆</t>
        </is>
      </c>
      <c r="C54" t="inlineStr">
        <is>
          <t>Seal's Burning Void Spirit Blast</t>
        </is>
      </c>
      <c r="D54" t="n">
        <v>20</v>
      </c>
      <c r="E54" t="n">
        <v>388</v>
      </c>
      <c r="F54" t="inlineStr">
        <is>
          <t>Explosão de Espírito do Vazio</t>
        </is>
      </c>
      <c r="G54" s="4">
        <f>INDEX('Peça 1'!F:F,MATCH(D54,'Peça 1'!A:A,0))&amp;""</f>
        <v/>
      </c>
      <c r="H54" s="4">
        <f>IF(AND(INDEX('Nomes-base'!B:B,MATCH(F54,'Nomes-base'!A:A,0))="f",INDEX('Peça 2'!G:G,MATCH(E54,'Peça 2'!A:A,0))&amp;""&lt;&gt;""),INDEX('Peça 2'!G:G,MATCH(E54,'Peça 2'!A:A,0))&amp;"",INDEX('Peça 2'!F:F,MATCH(E54,'Peça 2'!A:A,0))&amp;"")</f>
        <v/>
      </c>
      <c r="I54" s="4">
        <f>IF(OR(H54="",ISNUMBER(SEARCH(" ",H54)),INDEX('Nomes-base'!C:C,MATCH(F54,'Nomes-base'!A:A,0))&lt;&gt;"p"),H54,IF(RIGHT(H54,1)="s",H54,IF(RIGHT(H54,1)="l",LEFT(H54,LEN(H54)-1)&amp;"is",IF(OR(RIGHT(H54,1)="r",RIGHT(H54,1)="z"),H54&amp;"es",IF(RIGHT(H54,1)="m",LEFT(H54,LEN(H54)-1)&amp;"ns",H54&amp;"s")))))</f>
        <v/>
      </c>
    </row>
    <row r="55">
      <c r="A55" s="3">
        <f>IF(OR(G55="",I55=""),"(falta traduzir)",F55&amp;" "&amp;I55&amp;" "&amp;G55)</f>
        <v/>
      </c>
      <c r="B55" t="inlineStr">
        <is>
          <t>月霄神功</t>
        </is>
      </c>
      <c r="C55" t="inlineStr">
        <is>
          <t>Moon's Lofty Divine Power</t>
        </is>
      </c>
      <c r="D55" t="n">
        <v>21</v>
      </c>
      <c r="E55" t="n">
        <v>261</v>
      </c>
      <c r="F55" t="inlineStr">
        <is>
          <t>Poder Divino</t>
        </is>
      </c>
      <c r="G55" s="4">
        <f>INDEX('Peça 1'!F:F,MATCH(D55,'Peça 1'!A:A,0))&amp;""</f>
        <v/>
      </c>
      <c r="H55" s="4">
        <f>IF(AND(INDEX('Nomes-base'!B:B,MATCH(F55,'Nomes-base'!A:A,0))="f",INDEX('Peça 2'!G:G,MATCH(E55,'Peça 2'!A:A,0))&amp;""&lt;&gt;""),INDEX('Peça 2'!G:G,MATCH(E55,'Peça 2'!A:A,0))&amp;"",INDEX('Peça 2'!F:F,MATCH(E55,'Peça 2'!A:A,0))&amp;"")</f>
        <v/>
      </c>
      <c r="I55" s="4">
        <f>IF(OR(H55="",ISNUMBER(SEARCH(" ",H55)),INDEX('Nomes-base'!C:C,MATCH(F55,'Nomes-base'!A:A,0))&lt;&gt;"p"),H55,IF(RIGHT(H55,1)="s",H55,IF(RIGHT(H55,1)="l",LEFT(H55,LEN(H55)-1)&amp;"is",IF(OR(RIGHT(H55,1)="r",RIGHT(H55,1)="z"),H55&amp;"es",IF(RIGHT(H55,1)="m",LEFT(H55,LEN(H55)-1)&amp;"ns",H55&amp;"s")))))</f>
        <v/>
      </c>
    </row>
    <row r="56">
      <c r="A56" s="3">
        <f>IF(OR(G56="",I56=""),"(falta traduzir)",F56&amp;" "&amp;I56&amp;" "&amp;G56)</f>
        <v/>
      </c>
      <c r="B56" t="inlineStr">
        <is>
          <t>龙镜舞</t>
        </is>
      </c>
      <c r="C56" t="inlineStr">
        <is>
          <t>Dragon's Mirroring Dance</t>
        </is>
      </c>
      <c r="D56" t="n">
        <v>22</v>
      </c>
      <c r="E56" t="n">
        <v>334</v>
      </c>
      <c r="F56" t="inlineStr">
        <is>
          <t>Dança</t>
        </is>
      </c>
      <c r="G56" s="4">
        <f>INDEX('Peça 1'!F:F,MATCH(D56,'Peça 1'!A:A,0))&amp;""</f>
        <v/>
      </c>
      <c r="H56" s="4">
        <f>IF(AND(INDEX('Nomes-base'!B:B,MATCH(F56,'Nomes-base'!A:A,0))="f",INDEX('Peça 2'!G:G,MATCH(E56,'Peça 2'!A:A,0))&amp;""&lt;&gt;""),INDEX('Peça 2'!G:G,MATCH(E56,'Peça 2'!A:A,0))&amp;"",INDEX('Peça 2'!F:F,MATCH(E56,'Peça 2'!A:A,0))&amp;"")</f>
        <v/>
      </c>
      <c r="I56" s="4">
        <f>IF(OR(H56="",ISNUMBER(SEARCH(" ",H56)),INDEX('Nomes-base'!C:C,MATCH(F56,'Nomes-base'!A:A,0))&lt;&gt;"p"),H56,IF(RIGHT(H56,1)="s",H56,IF(RIGHT(H56,1)="l",LEFT(H56,LEN(H56)-1)&amp;"is",IF(OR(RIGHT(H56,1)="r",RIGHT(H56,1)="z"),H56&amp;"es",IF(RIGHT(H56,1)="m",LEFT(H56,LEN(H56)-1)&amp;"ns",H56&amp;"s")))))</f>
        <v/>
      </c>
    </row>
    <row r="57">
      <c r="A57" s="3">
        <f>IF(OR(G57="",I57=""),"(falta traduzir)",F57&amp;" "&amp;I57&amp;" "&amp;G57)</f>
        <v/>
      </c>
      <c r="B57" t="inlineStr">
        <is>
          <t>星月冰刺术</t>
        </is>
      </c>
      <c r="C57" t="inlineStr">
        <is>
          <t>Star's Moonlit Icicle</t>
        </is>
      </c>
      <c r="D57" t="n">
        <v>23</v>
      </c>
      <c r="E57" t="n">
        <v>207</v>
      </c>
      <c r="F57" t="inlineStr">
        <is>
          <t>Pingente de Gelo</t>
        </is>
      </c>
      <c r="G57" s="4">
        <f>INDEX('Peça 1'!F:F,MATCH(D57,'Peça 1'!A:A,0))&amp;""</f>
        <v/>
      </c>
      <c r="H57" s="4">
        <f>IF(AND(INDEX('Nomes-base'!B:B,MATCH(F57,'Nomes-base'!A:A,0))="f",INDEX('Peça 2'!G:G,MATCH(E57,'Peça 2'!A:A,0))&amp;""&lt;&gt;""),INDEX('Peça 2'!G:G,MATCH(E57,'Peça 2'!A:A,0))&amp;"",INDEX('Peça 2'!F:F,MATCH(E57,'Peça 2'!A:A,0))&amp;"")</f>
        <v/>
      </c>
      <c r="I57" s="4">
        <f>IF(OR(H57="",ISNUMBER(SEARCH(" ",H57)),INDEX('Nomes-base'!C:C,MATCH(F57,'Nomes-base'!A:A,0))&lt;&gt;"p"),H57,IF(RIGHT(H57,1)="s",H57,IF(RIGHT(H57,1)="l",LEFT(H57,LEN(H57)-1)&amp;"is",IF(OR(RIGHT(H57,1)="r",RIGHT(H57,1)="z"),H57&amp;"es",IF(RIGHT(H57,1)="m",LEFT(H57,LEN(H57)-1)&amp;"ns",H57&amp;"s")))))</f>
        <v/>
      </c>
    </row>
    <row r="58">
      <c r="A58" s="3">
        <f>IF(OR(G58="",I58=""),"(falta traduzir)",F58&amp;" "&amp;I58&amp;" "&amp;G58)</f>
        <v/>
      </c>
      <c r="B58" t="inlineStr">
        <is>
          <t>云化秘卷</t>
        </is>
      </c>
      <c r="C58" t="inlineStr">
        <is>
          <t>Cloud's Becoming Secret Manual</t>
        </is>
      </c>
      <c r="D58" t="n">
        <v>24</v>
      </c>
      <c r="E58" t="n">
        <v>280</v>
      </c>
      <c r="F58" t="inlineStr">
        <is>
          <t>Manual Secreto</t>
        </is>
      </c>
      <c r="G58" s="4">
        <f>INDEX('Peça 1'!F:F,MATCH(D58,'Peça 1'!A:A,0))&amp;""</f>
        <v/>
      </c>
      <c r="H58" s="4">
        <f>IF(AND(INDEX('Nomes-base'!B:B,MATCH(F58,'Nomes-base'!A:A,0))="f",INDEX('Peça 2'!G:G,MATCH(E58,'Peça 2'!A:A,0))&amp;""&lt;&gt;""),INDEX('Peça 2'!G:G,MATCH(E58,'Peça 2'!A:A,0))&amp;"",INDEX('Peça 2'!F:F,MATCH(E58,'Peça 2'!A:A,0))&amp;"")</f>
        <v/>
      </c>
      <c r="I58" s="4">
        <f>IF(OR(H58="",ISNUMBER(SEARCH(" ",H58)),INDEX('Nomes-base'!C:C,MATCH(F58,'Nomes-base'!A:A,0))&lt;&gt;"p"),H58,IF(RIGHT(H58,1)="s",H58,IF(RIGHT(H58,1)="l",LEFT(H58,LEN(H58)-1)&amp;"is",IF(OR(RIGHT(H58,1)="r",RIGHT(H58,1)="z"),H58&amp;"es",IF(RIGHT(H58,1)="m",LEFT(H58,LEN(H58)-1)&amp;"ns",H58&amp;"s")))))</f>
        <v/>
      </c>
    </row>
    <row r="59">
      <c r="A59" s="3">
        <f>IF(OR(G59="",I59=""),"(falta traduzir)",F59&amp;" "&amp;I59&amp;" "&amp;G59)</f>
        <v/>
      </c>
      <c r="B59" t="inlineStr">
        <is>
          <t>血穹风刃术</t>
        </is>
      </c>
      <c r="C59" t="inlineStr">
        <is>
          <t>Blood's Aerial Wind Edge</t>
        </is>
      </c>
      <c r="D59" t="n">
        <v>25</v>
      </c>
      <c r="E59" t="n">
        <v>353</v>
      </c>
      <c r="F59" t="inlineStr">
        <is>
          <t>Gume do Vento</t>
        </is>
      </c>
      <c r="G59" s="4">
        <f>INDEX('Peça 1'!F:F,MATCH(D59,'Peça 1'!A:A,0))&amp;""</f>
        <v/>
      </c>
      <c r="H59" s="4">
        <f>IF(AND(INDEX('Nomes-base'!B:B,MATCH(F59,'Nomes-base'!A:A,0))="f",INDEX('Peça 2'!G:G,MATCH(E59,'Peça 2'!A:A,0))&amp;""&lt;&gt;""),INDEX('Peça 2'!G:G,MATCH(E59,'Peça 2'!A:A,0))&amp;"",INDEX('Peça 2'!F:F,MATCH(E59,'Peça 2'!A:A,0))&amp;"")</f>
        <v/>
      </c>
      <c r="I59" s="4">
        <f>IF(OR(H59="",ISNUMBER(SEARCH(" ",H59)),INDEX('Nomes-base'!C:C,MATCH(F59,'Nomes-base'!A:A,0))&lt;&gt;"p"),H59,IF(RIGHT(H59,1)="s",H59,IF(RIGHT(H59,1)="l",LEFT(H59,LEN(H59)-1)&amp;"is",IF(OR(RIGHT(H59,1)="r",RIGHT(H59,1)="z"),H59&amp;"es",IF(RIGHT(H59,1)="m",LEFT(H59,LEN(H59)-1)&amp;"ns",H59&amp;"s")))))</f>
        <v/>
      </c>
    </row>
    <row r="60">
      <c r="A60" s="3">
        <f>IF(OR(G60="",I60=""),"(falta traduzir)",F60&amp;" "&amp;I60&amp;" "&amp;G60)</f>
        <v/>
      </c>
      <c r="B60" t="inlineStr">
        <is>
          <t>神锋破体拳</t>
        </is>
      </c>
      <c r="C60" t="inlineStr">
        <is>
          <t>Spirit's Edgy Shadowy Fist</t>
        </is>
      </c>
      <c r="D60" t="n">
        <v>26</v>
      </c>
      <c r="E60" t="n">
        <v>226</v>
      </c>
      <c r="F60" t="inlineStr">
        <is>
          <t>Punho Sombrio</t>
        </is>
      </c>
      <c r="G60" s="4">
        <f>INDEX('Peça 1'!F:F,MATCH(D60,'Peça 1'!A:A,0))&amp;""</f>
        <v/>
      </c>
      <c r="H60" s="4">
        <f>IF(AND(INDEX('Nomes-base'!B:B,MATCH(F60,'Nomes-base'!A:A,0))="f",INDEX('Peça 2'!G:G,MATCH(E60,'Peça 2'!A:A,0))&amp;""&lt;&gt;""),INDEX('Peça 2'!G:G,MATCH(E60,'Peça 2'!A:A,0))&amp;"",INDEX('Peça 2'!F:F,MATCH(E60,'Peça 2'!A:A,0))&amp;"")</f>
        <v/>
      </c>
      <c r="I60" s="4">
        <f>IF(OR(H60="",ISNUMBER(SEARCH(" ",H60)),INDEX('Nomes-base'!C:C,MATCH(F60,'Nomes-base'!A:A,0))&lt;&gt;"p"),H60,IF(RIGHT(H60,1)="s",H60,IF(RIGHT(H60,1)="l",LEFT(H60,LEN(H60)-1)&amp;"is",IF(OR(RIGHT(H60,1)="r",RIGHT(H60,1)="z"),H60&amp;"es",IF(RIGHT(H60,1)="m",LEFT(H60,LEN(H60)-1)&amp;"ns",H60&amp;"s")))))</f>
        <v/>
      </c>
    </row>
    <row r="61">
      <c r="A61" s="3">
        <f>IF(OR(G61="",I61=""),"(falta traduzir)",F61&amp;" "&amp;I61&amp;" "&amp;G61)</f>
        <v/>
      </c>
      <c r="B61" t="inlineStr">
        <is>
          <t>魔川闪</t>
        </is>
      </c>
      <c r="C61" t="inlineStr">
        <is>
          <t>Demon's Flowing Flash</t>
        </is>
      </c>
      <c r="D61" t="n">
        <v>27</v>
      </c>
      <c r="E61" t="n">
        <v>299</v>
      </c>
      <c r="F61" t="inlineStr">
        <is>
          <t>Lampejo</t>
        </is>
      </c>
      <c r="G61" s="4">
        <f>INDEX('Peça 1'!F:F,MATCH(D61,'Peça 1'!A:A,0))&amp;""</f>
        <v/>
      </c>
      <c r="H61" s="4">
        <f>IF(AND(INDEX('Nomes-base'!B:B,MATCH(F61,'Nomes-base'!A:A,0))="f",INDEX('Peça 2'!G:G,MATCH(E61,'Peça 2'!A:A,0))&amp;""&lt;&gt;""),INDEX('Peça 2'!G:G,MATCH(E61,'Peça 2'!A:A,0))&amp;"",INDEX('Peça 2'!F:F,MATCH(E61,'Peça 2'!A:A,0))&amp;"")</f>
        <v/>
      </c>
      <c r="I61" s="4">
        <f>IF(OR(H61="",ISNUMBER(SEARCH(" ",H61)),INDEX('Nomes-base'!C:C,MATCH(F61,'Nomes-base'!A:A,0))&lt;&gt;"p"),H61,IF(RIGHT(H61,1)="s",H61,IF(RIGHT(H61,1)="l",LEFT(H61,LEN(H61)-1)&amp;"is",IF(OR(RIGHT(H61,1)="r",RIGHT(H61,1)="z"),H61&amp;"es",IF(RIGHT(H61,1)="m",LEFT(H61,LEN(H61)-1)&amp;"ns",H61&amp;"s")))))</f>
        <v/>
      </c>
    </row>
    <row r="62">
      <c r="A62" s="3">
        <f>IF(OR(G62="",I62=""),"(falta traduzir)",F62&amp;" "&amp;I62&amp;" "&amp;G62)</f>
        <v/>
      </c>
      <c r="B62" t="inlineStr">
        <is>
          <t>苍生步</t>
        </is>
      </c>
      <c r="C62" t="inlineStr">
        <is>
          <t>Azure's Birthing Step</t>
        </is>
      </c>
      <c r="D62" t="n">
        <v>28</v>
      </c>
      <c r="E62" t="n">
        <v>372</v>
      </c>
      <c r="F62" t="inlineStr">
        <is>
          <t>Passo</t>
        </is>
      </c>
      <c r="G62" s="4">
        <f>INDEX('Peça 1'!F:F,MATCH(D62,'Peça 1'!A:A,0))&amp;""</f>
        <v/>
      </c>
      <c r="H62" s="4">
        <f>IF(AND(INDEX('Nomes-base'!B:B,MATCH(F62,'Nomes-base'!A:A,0))="f",INDEX('Peça 2'!G:G,MATCH(E62,'Peça 2'!A:A,0))&amp;""&lt;&gt;""),INDEX('Peça 2'!G:G,MATCH(E62,'Peça 2'!A:A,0))&amp;"",INDEX('Peça 2'!F:F,MATCH(E62,'Peça 2'!A:A,0))&amp;"")</f>
        <v/>
      </c>
      <c r="I62" s="4">
        <f>IF(OR(H62="",ISNUMBER(SEARCH(" ",H62)),INDEX('Nomes-base'!C:C,MATCH(F62,'Nomes-base'!A:A,0))&lt;&gt;"p"),H62,IF(RIGHT(H62,1)="s",H62,IF(RIGHT(H62,1)="l",LEFT(H62,LEN(H62)-1)&amp;"is",IF(OR(RIGHT(H62,1)="r",RIGHT(H62,1)="z"),H62&amp;"es",IF(RIGHT(H62,1)="m",LEFT(H62,LEN(H62)-1)&amp;"ns",H62&amp;"s")))))</f>
        <v/>
      </c>
    </row>
    <row r="63">
      <c r="A63" s="3">
        <f>IF(OR(G63="",I63=""),"(falta traduzir)",F63&amp;" "&amp;I63&amp;" "&amp;G63)</f>
        <v/>
      </c>
      <c r="B63" t="inlineStr">
        <is>
          <t>冥寒式</t>
        </is>
      </c>
      <c r="C63" t="inlineStr">
        <is>
          <t>Nether's Cold Technique</t>
        </is>
      </c>
      <c r="D63" t="n">
        <v>29</v>
      </c>
      <c r="E63" t="n">
        <v>245</v>
      </c>
      <c r="F63" t="inlineStr">
        <is>
          <t>Técnica</t>
        </is>
      </c>
      <c r="G63" s="4">
        <f>INDEX('Peça 1'!F:F,MATCH(D63,'Peça 1'!A:A,0))&amp;""</f>
        <v/>
      </c>
      <c r="H63" s="4">
        <f>IF(AND(INDEX('Nomes-base'!B:B,MATCH(F63,'Nomes-base'!A:A,0))="f",INDEX('Peça 2'!G:G,MATCH(E63,'Peça 2'!A:A,0))&amp;""&lt;&gt;""),INDEX('Peça 2'!G:G,MATCH(E63,'Peça 2'!A:A,0))&amp;"",INDEX('Peça 2'!F:F,MATCH(E63,'Peça 2'!A:A,0))&amp;"")</f>
        <v/>
      </c>
      <c r="I63" s="4">
        <f>IF(OR(H63="",ISNUMBER(SEARCH(" ",H63)),INDEX('Nomes-base'!C:C,MATCH(F63,'Nomes-base'!A:A,0))&lt;&gt;"p"),H63,IF(RIGHT(H63,1)="s",H63,IF(RIGHT(H63,1)="l",LEFT(H63,LEN(H63)-1)&amp;"is",IF(OR(RIGHT(H63,1)="r",RIGHT(H63,1)="z"),H63&amp;"es",IF(RIGHT(H63,1)="m",LEFT(H63,LEN(H63)-1)&amp;"ns",H63&amp;"s")))))</f>
        <v/>
      </c>
    </row>
    <row r="64">
      <c r="A64" s="3">
        <f>IF(OR(G64="",I64=""),"(falta traduzir)",F64&amp;" "&amp;I64&amp;" "&amp;G64)</f>
        <v/>
      </c>
      <c r="B64" t="inlineStr">
        <is>
          <t>暴壳旋风刀</t>
        </is>
      </c>
      <c r="C64" t="inlineStr">
        <is>
          <t>Brute's Shelled Whirlwind Blade</t>
        </is>
      </c>
      <c r="D64" t="n">
        <v>30</v>
      </c>
      <c r="E64" t="n">
        <v>318</v>
      </c>
      <c r="F64" t="inlineStr">
        <is>
          <t>Lâmina do Redemoinho</t>
        </is>
      </c>
      <c r="G64" s="4">
        <f>INDEX('Peça 1'!F:F,MATCH(D64,'Peça 1'!A:A,0))&amp;""</f>
        <v/>
      </c>
      <c r="H64" s="4">
        <f>IF(AND(INDEX('Nomes-base'!B:B,MATCH(F64,'Nomes-base'!A:A,0))="f",INDEX('Peça 2'!G:G,MATCH(E64,'Peça 2'!A:A,0))&amp;""&lt;&gt;""),INDEX('Peça 2'!G:G,MATCH(E64,'Peça 2'!A:A,0))&amp;"",INDEX('Peça 2'!F:F,MATCH(E64,'Peça 2'!A:A,0))&amp;"")</f>
        <v/>
      </c>
      <c r="I64" s="4">
        <f>IF(OR(H64="",ISNUMBER(SEARCH(" ",H64)),INDEX('Nomes-base'!C:C,MATCH(F64,'Nomes-base'!A:A,0))&lt;&gt;"p"),H64,IF(RIGHT(H64,1)="s",H64,IF(RIGHT(H64,1)="l",LEFT(H64,LEN(H64)-1)&amp;"is",IF(OR(RIGHT(H64,1)="r",RIGHT(H64,1)="z"),H64&amp;"es",IF(RIGHT(H64,1)="m",LEFT(H64,LEN(H64)-1)&amp;"ns",H64&amp;"s")))))</f>
        <v/>
      </c>
    </row>
    <row r="65">
      <c r="A65" s="3">
        <f>IF(OR(G65="",I65=""),"(falta traduzir)",F65&amp;" "&amp;I65&amp;" "&amp;G65)</f>
        <v/>
      </c>
      <c r="B65" t="inlineStr">
        <is>
          <t>狂微落雷阵</t>
        </is>
      </c>
      <c r="C65" t="inlineStr">
        <is>
          <t>Madness' Minimal Lightning Crash</t>
        </is>
      </c>
      <c r="D65" t="n">
        <v>31</v>
      </c>
      <c r="E65" t="n">
        <v>391</v>
      </c>
      <c r="F65" t="inlineStr">
        <is>
          <t>Colapso do Relâmpago</t>
        </is>
      </c>
      <c r="G65" s="4">
        <f>INDEX('Peça 1'!F:F,MATCH(D65,'Peça 1'!A:A,0))&amp;""</f>
        <v/>
      </c>
      <c r="H65" s="4">
        <f>IF(AND(INDEX('Nomes-base'!B:B,MATCH(F65,'Nomes-base'!A:A,0))="f",INDEX('Peça 2'!G:G,MATCH(E65,'Peça 2'!A:A,0))&amp;""&lt;&gt;""),INDEX('Peça 2'!G:G,MATCH(E65,'Peça 2'!A:A,0))&amp;"",INDEX('Peça 2'!F:F,MATCH(E65,'Peça 2'!A:A,0))&amp;"")</f>
        <v/>
      </c>
      <c r="I65" s="4">
        <f>IF(OR(H65="",ISNUMBER(SEARCH(" ",H65)),INDEX('Nomes-base'!C:C,MATCH(F65,'Nomes-base'!A:A,0))&lt;&gt;"p"),H65,IF(RIGHT(H65,1)="s",H65,IF(RIGHT(H65,1)="l",LEFT(H65,LEN(H65)-1)&amp;"is",IF(OR(RIGHT(H65,1)="r",RIGHT(H65,1)="z"),H65&amp;"es",IF(RIGHT(H65,1)="m",LEFT(H65,LEN(H65)-1)&amp;"ns",H65&amp;"s")))))</f>
        <v/>
      </c>
    </row>
    <row r="66">
      <c r="A66" s="3">
        <f>IF(OR(G66="",I66=""),"(falta traduzir)",F66&amp;" "&amp;I66&amp;" "&amp;G66)</f>
        <v/>
      </c>
      <c r="B66" t="inlineStr">
        <is>
          <t>掣曜大法</t>
        </is>
      </c>
      <c r="C66" t="inlineStr">
        <is>
          <t>Control's Gleaming Mastery</t>
        </is>
      </c>
      <c r="D66" t="n">
        <v>32</v>
      </c>
      <c r="E66" t="n">
        <v>264</v>
      </c>
      <c r="F66" t="inlineStr">
        <is>
          <t>Mestria</t>
        </is>
      </c>
      <c r="G66" s="4">
        <f>INDEX('Peça 1'!F:F,MATCH(D66,'Peça 1'!A:A,0))&amp;""</f>
        <v/>
      </c>
      <c r="H66" s="4">
        <f>IF(AND(INDEX('Nomes-base'!B:B,MATCH(F66,'Nomes-base'!A:A,0))="f",INDEX('Peça 2'!G:G,MATCH(E66,'Peça 2'!A:A,0))&amp;""&lt;&gt;""),INDEX('Peça 2'!G:G,MATCH(E66,'Peça 2'!A:A,0))&amp;"",INDEX('Peça 2'!F:F,MATCH(E66,'Peça 2'!A:A,0))&amp;"")</f>
        <v/>
      </c>
      <c r="I66" s="4">
        <f>IF(OR(H66="",ISNUMBER(SEARCH(" ",H66)),INDEX('Nomes-base'!C:C,MATCH(F66,'Nomes-base'!A:A,0))&lt;&gt;"p"),H66,IF(RIGHT(H66,1)="s",H66,IF(RIGHT(H66,1)="l",LEFT(H66,LEN(H66)-1)&amp;"is",IF(OR(RIGHT(H66,1)="r",RIGHT(H66,1)="z"),H66&amp;"es",IF(RIGHT(H66,1)="m",LEFT(H66,LEN(H66)-1)&amp;"ns",H66&amp;"s")))))</f>
        <v/>
      </c>
    </row>
    <row r="67">
      <c r="A67" s="3">
        <f>IF(OR(G67="",I67=""),"(falta traduzir)",F67&amp;" "&amp;I67&amp;" "&amp;G67)</f>
        <v/>
      </c>
      <c r="B67" t="inlineStr">
        <is>
          <t>噬封突</t>
        </is>
      </c>
      <c r="C67" t="inlineStr">
        <is>
          <t>Hunger's Signing Dash</t>
        </is>
      </c>
      <c r="D67" t="n">
        <v>33</v>
      </c>
      <c r="E67" t="n">
        <v>337</v>
      </c>
      <c r="F67" t="inlineStr">
        <is>
          <t>Arrancada</t>
        </is>
      </c>
      <c r="G67" s="4">
        <f>INDEX('Peça 1'!F:F,MATCH(D67,'Peça 1'!A:A,0))&amp;""</f>
        <v/>
      </c>
      <c r="H67" s="4">
        <f>IF(AND(INDEX('Nomes-base'!B:B,MATCH(F67,'Nomes-base'!A:A,0))="f",INDEX('Peça 2'!G:G,MATCH(E67,'Peça 2'!A:A,0))&amp;""&lt;&gt;""),INDEX('Peça 2'!G:G,MATCH(E67,'Peça 2'!A:A,0))&amp;"",INDEX('Peça 2'!F:F,MATCH(E67,'Peça 2'!A:A,0))&amp;"")</f>
        <v/>
      </c>
      <c r="I67" s="4">
        <f>IF(OR(H67="",ISNUMBER(SEARCH(" ",H67)),INDEX('Nomes-base'!C:C,MATCH(F67,'Nomes-base'!A:A,0))&lt;&gt;"p"),H67,IF(RIGHT(H67,1)="s",H67,IF(RIGHT(H67,1)="l",LEFT(H67,LEN(H67)-1)&amp;"is",IF(OR(RIGHT(H67,1)="r",RIGHT(H67,1)="z"),H67&amp;"es",IF(RIGHT(H67,1)="m",LEFT(H67,LEN(H67)-1)&amp;"ns",H67&amp;"s")))))</f>
        <v/>
      </c>
    </row>
    <row r="68">
      <c r="A68" s="3">
        <f>IF(OR(G68="",I68=""),"(falta traduzir)",F68&amp;" "&amp;I68&amp;" "&amp;G68)</f>
        <v/>
      </c>
      <c r="B68" t="inlineStr">
        <is>
          <t>化魂冰天眼</t>
        </is>
      </c>
      <c r="C68" t="inlineStr">
        <is>
          <t>Turn's Ensouled Heavenly Icy Eye</t>
        </is>
      </c>
      <c r="D68" t="n">
        <v>34</v>
      </c>
      <c r="E68" t="n">
        <v>210</v>
      </c>
      <c r="F68" t="inlineStr">
        <is>
          <t>Olhar Gélido Celestial</t>
        </is>
      </c>
      <c r="G68" s="4">
        <f>INDEX('Peça 1'!F:F,MATCH(D68,'Peça 1'!A:A,0))&amp;""</f>
        <v/>
      </c>
      <c r="H68" s="4">
        <f>IF(AND(INDEX('Nomes-base'!B:B,MATCH(F68,'Nomes-base'!A:A,0))="f",INDEX('Peça 2'!G:G,MATCH(E68,'Peça 2'!A:A,0))&amp;""&lt;&gt;""),INDEX('Peça 2'!G:G,MATCH(E68,'Peça 2'!A:A,0))&amp;"",INDEX('Peça 2'!F:F,MATCH(E68,'Peça 2'!A:A,0))&amp;"")</f>
        <v/>
      </c>
      <c r="I68" s="4">
        <f>IF(OR(H68="",ISNUMBER(SEARCH(" ",H68)),INDEX('Nomes-base'!C:C,MATCH(F68,'Nomes-base'!A:A,0))&lt;&gt;"p"),H68,IF(RIGHT(H68,1)="s",H68,IF(RIGHT(H68,1)="l",LEFT(H68,LEN(H68)-1)&amp;"is",IF(OR(RIGHT(H68,1)="r",RIGHT(H68,1)="z"),H68&amp;"es",IF(RIGHT(H68,1)="m",LEFT(H68,LEN(H68)-1)&amp;"ns",H68&amp;"s")))))</f>
        <v/>
      </c>
    </row>
    <row r="69">
      <c r="A69" s="3">
        <f>IF(OR(G69="",I69=""),"(falta traduzir)",F69&amp;" "&amp;I69&amp;" "&amp;G69)</f>
        <v/>
      </c>
      <c r="B69" t="inlineStr">
        <is>
          <t>弑荒隐</t>
        </is>
      </c>
      <c r="C69" t="inlineStr">
        <is>
          <t>Death's Decaying Stealth</t>
        </is>
      </c>
      <c r="D69" t="n">
        <v>35</v>
      </c>
      <c r="E69" t="n">
        <v>283</v>
      </c>
      <c r="F69" t="inlineStr">
        <is>
          <t>Furtividade</t>
        </is>
      </c>
      <c r="G69" s="4">
        <f>INDEX('Peça 1'!F:F,MATCH(D69,'Peça 1'!A:A,0))&amp;""</f>
        <v/>
      </c>
      <c r="H69" s="4">
        <f>IF(AND(INDEX('Nomes-base'!B:B,MATCH(F69,'Nomes-base'!A:A,0))="f",INDEX('Peça 2'!G:G,MATCH(E69,'Peça 2'!A:A,0))&amp;""&lt;&gt;""),INDEX('Peça 2'!G:G,MATCH(E69,'Peça 2'!A:A,0))&amp;"",INDEX('Peça 2'!F:F,MATCH(E69,'Peça 2'!A:A,0))&amp;"")</f>
        <v/>
      </c>
      <c r="I69" s="4">
        <f>IF(OR(H69="",ISNUMBER(SEARCH(" ",H69)),INDEX('Nomes-base'!C:C,MATCH(F69,'Nomes-base'!A:A,0))&lt;&gt;"p"),H69,IF(RIGHT(H69,1)="s",H69,IF(RIGHT(H69,1)="l",LEFT(H69,LEN(H69)-1)&amp;"is",IF(OR(RIGHT(H69,1)="r",RIGHT(H69,1)="z"),H69&amp;"es",IF(RIGHT(H69,1)="m",LEFT(H69,LEN(H69)-1)&amp;"ns",H69&amp;"s")))))</f>
        <v/>
      </c>
    </row>
    <row r="70">
      <c r="A70" s="3">
        <f>IF(OR(G70="",I70=""),"(falta traduzir)",F70&amp;" "&amp;I70&amp;" "&amp;G70)</f>
        <v/>
      </c>
      <c r="B70" t="inlineStr">
        <is>
          <t>无蒙惊虹掌</t>
        </is>
      </c>
      <c r="C70" t="inlineStr">
        <is>
          <t>Void's Knowing Rainbow Palm</t>
        </is>
      </c>
      <c r="D70" t="n">
        <v>36</v>
      </c>
      <c r="E70" t="n">
        <v>356</v>
      </c>
      <c r="F70" t="inlineStr">
        <is>
          <t>Palma Arco-Íris</t>
        </is>
      </c>
      <c r="G70" s="4">
        <f>INDEX('Peça 1'!F:F,MATCH(D70,'Peça 1'!A:A,0))&amp;""</f>
        <v/>
      </c>
      <c r="H70" s="4">
        <f>IF(AND(INDEX('Nomes-base'!B:B,MATCH(F70,'Nomes-base'!A:A,0))="f",INDEX('Peça 2'!G:G,MATCH(E70,'Peça 2'!A:A,0))&amp;""&lt;&gt;""),INDEX('Peça 2'!G:G,MATCH(E70,'Peça 2'!A:A,0))&amp;"",INDEX('Peça 2'!F:F,MATCH(E70,'Peça 2'!A:A,0))&amp;"")</f>
        <v/>
      </c>
      <c r="I70" s="4">
        <f>IF(OR(H70="",ISNUMBER(SEARCH(" ",H70)),INDEX('Nomes-base'!C:C,MATCH(F70,'Nomes-base'!A:A,0))&lt;&gt;"p"),H70,IF(RIGHT(H70,1)="s",H70,IF(RIGHT(H70,1)="l",LEFT(H70,LEN(H70)-1)&amp;"is",IF(OR(RIGHT(H70,1)="r",RIGHT(H70,1)="z"),H70&amp;"es",IF(RIGHT(H70,1)="m",LEFT(H70,LEN(H70)-1)&amp;"ns",H70&amp;"s")))))</f>
        <v/>
      </c>
    </row>
    <row r="71">
      <c r="A71" s="3">
        <f>IF(OR(G71="",I71=""),"(falta traduzir)",F71&amp;" "&amp;I71&amp;" "&amp;G71)</f>
        <v/>
      </c>
      <c r="B71" t="inlineStr">
        <is>
          <t>孤阴裂地拳</t>
        </is>
      </c>
      <c r="C71" t="inlineStr">
        <is>
          <t>Outcast's Dark Seismic Fist</t>
        </is>
      </c>
      <c r="D71" t="n">
        <v>37</v>
      </c>
      <c r="E71" t="n">
        <v>229</v>
      </c>
      <c r="F71" t="inlineStr">
        <is>
          <t>Punho Sísmico</t>
        </is>
      </c>
      <c r="G71" s="4">
        <f>INDEX('Peça 1'!F:F,MATCH(D71,'Peça 1'!A:A,0))&amp;""</f>
        <v/>
      </c>
      <c r="H71" s="4">
        <f>IF(AND(INDEX('Nomes-base'!B:B,MATCH(F71,'Nomes-base'!A:A,0))="f",INDEX('Peça 2'!G:G,MATCH(E71,'Peça 2'!A:A,0))&amp;""&lt;&gt;""),INDEX('Peça 2'!G:G,MATCH(E71,'Peça 2'!A:A,0))&amp;"",INDEX('Peça 2'!F:F,MATCH(E71,'Peça 2'!A:A,0))&amp;"")</f>
        <v/>
      </c>
      <c r="I71" s="4">
        <f>IF(OR(H71="",ISNUMBER(SEARCH(" ",H71)),INDEX('Nomes-base'!C:C,MATCH(F71,'Nomes-base'!A:A,0))&lt;&gt;"p"),H71,IF(RIGHT(H71,1)="s",H71,IF(RIGHT(H71,1)="l",LEFT(H71,LEN(H71)-1)&amp;"is",IF(OR(RIGHT(H71,1)="r",RIGHT(H71,1)="z"),H71&amp;"es",IF(RIGHT(H71,1)="m",LEFT(H71,LEN(H71)-1)&amp;"ns",H71&amp;"s")))))</f>
        <v/>
      </c>
    </row>
    <row r="72">
      <c r="A72" s="3">
        <f>IF(OR(G72="",I72=""),"(falta traduzir)",F72&amp;" "&amp;I72&amp;" "&amp;G72)</f>
        <v/>
      </c>
      <c r="B72" t="inlineStr">
        <is>
          <t>流海卷</t>
        </is>
      </c>
      <c r="C72" t="inlineStr">
        <is>
          <t>Wanderer's Oceanic Tornado</t>
        </is>
      </c>
      <c r="D72" t="n">
        <v>38</v>
      </c>
      <c r="E72" t="n">
        <v>302</v>
      </c>
      <c r="F72" t="inlineStr">
        <is>
          <t>Tornado</t>
        </is>
      </c>
      <c r="G72" s="4">
        <f>INDEX('Peça 1'!F:F,MATCH(D72,'Peça 1'!A:A,0))&amp;""</f>
        <v/>
      </c>
      <c r="H72" s="4">
        <f>IF(AND(INDEX('Nomes-base'!B:B,MATCH(F72,'Nomes-base'!A:A,0))="f",INDEX('Peça 2'!G:G,MATCH(E72,'Peça 2'!A:A,0))&amp;""&lt;&gt;""),INDEX('Peça 2'!G:G,MATCH(E72,'Peça 2'!A:A,0))&amp;"",INDEX('Peça 2'!F:F,MATCH(E72,'Peça 2'!A:A,0))&amp;"")</f>
        <v/>
      </c>
      <c r="I72" s="4">
        <f>IF(OR(H72="",ISNUMBER(SEARCH(" ",H72)),INDEX('Nomes-base'!C:C,MATCH(F72,'Nomes-base'!A:A,0))&lt;&gt;"p"),H72,IF(RIGHT(H72,1)="s",H72,IF(RIGHT(H72,1)="l",LEFT(H72,LEN(H72)-1)&amp;"is",IF(OR(RIGHT(H72,1)="r",RIGHT(H72,1)="z"),H72&amp;"es",IF(RIGHT(H72,1)="m",LEFT(H72,LEN(H72)-1)&amp;"ns",H72&amp;"s")))))</f>
        <v/>
      </c>
    </row>
    <row r="73">
      <c r="A73" s="3">
        <f>IF(OR(G73="",I73=""),"(falta traduzir)",F73&amp;" "&amp;I73&amp;" "&amp;G73)</f>
        <v/>
      </c>
      <c r="B73" t="inlineStr">
        <is>
          <t>伏苍水灵术</t>
        </is>
      </c>
      <c r="C73" t="inlineStr">
        <is>
          <t>Trap's Azure Spiritual Water</t>
        </is>
      </c>
      <c r="D73" t="n">
        <v>39</v>
      </c>
      <c r="E73" t="n">
        <v>375</v>
      </c>
      <c r="F73" t="inlineStr">
        <is>
          <t>Água Espiritual</t>
        </is>
      </c>
      <c r="G73" s="4">
        <f>INDEX('Peça 1'!F:F,MATCH(D73,'Peça 1'!A:A,0))&amp;""</f>
        <v/>
      </c>
      <c r="H73" s="4">
        <f>IF(AND(INDEX('Nomes-base'!B:B,MATCH(F73,'Nomes-base'!A:A,0))="f",INDEX('Peça 2'!G:G,MATCH(E73,'Peça 2'!A:A,0))&amp;""&lt;&gt;""),INDEX('Peça 2'!G:G,MATCH(E73,'Peça 2'!A:A,0))&amp;"",INDEX('Peça 2'!F:F,MATCH(E73,'Peça 2'!A:A,0))&amp;"")</f>
        <v/>
      </c>
      <c r="I73" s="4">
        <f>IF(OR(H73="",ISNUMBER(SEARCH(" ",H73)),INDEX('Nomes-base'!C:C,MATCH(F73,'Nomes-base'!A:A,0))&lt;&gt;"p"),H73,IF(RIGHT(H73,1)="s",H73,IF(RIGHT(H73,1)="l",LEFT(H73,LEN(H73)-1)&amp;"is",IF(OR(RIGHT(H73,1)="r",RIGHT(H73,1)="z"),H73&amp;"es",IF(RIGHT(H73,1)="m",LEFT(H73,LEN(H73)-1)&amp;"ns",H73&amp;"s")))))</f>
        <v/>
      </c>
    </row>
    <row r="74">
      <c r="A74" s="3">
        <f>IF(OR(G74="",I74=""),"(falta traduzir)",F74&amp;" "&amp;I74&amp;" "&amp;G74)</f>
        <v/>
      </c>
      <c r="B74" t="inlineStr">
        <is>
          <t>摧道诀</t>
        </is>
      </c>
      <c r="C74" t="inlineStr">
        <is>
          <t>Wreckage's Truthful Guide</t>
        </is>
      </c>
      <c r="D74" t="n">
        <v>40</v>
      </c>
      <c r="E74" t="n">
        <v>248</v>
      </c>
      <c r="F74" t="inlineStr">
        <is>
          <t>Guia</t>
        </is>
      </c>
      <c r="G74" s="4">
        <f>INDEX('Peça 1'!F:F,MATCH(D74,'Peça 1'!A:A,0))&amp;""</f>
        <v/>
      </c>
      <c r="H74" s="4">
        <f>IF(AND(INDEX('Nomes-base'!B:B,MATCH(F74,'Nomes-base'!A:A,0))="f",INDEX('Peça 2'!G:G,MATCH(E74,'Peça 2'!A:A,0))&amp;""&lt;&gt;""),INDEX('Peça 2'!G:G,MATCH(E74,'Peça 2'!A:A,0))&amp;"",INDEX('Peça 2'!F:F,MATCH(E74,'Peça 2'!A:A,0))&amp;"")</f>
        <v/>
      </c>
      <c r="I74" s="4">
        <f>IF(OR(H74="",ISNUMBER(SEARCH(" ",H74)),INDEX('Nomes-base'!C:C,MATCH(F74,'Nomes-base'!A:A,0))&lt;&gt;"p"),H74,IF(RIGHT(H74,1)="s",H74,IF(RIGHT(H74,1)="l",LEFT(H74,LEN(H74)-1)&amp;"is",IF(OR(RIGHT(H74,1)="r",RIGHT(H74,1)="z"),H74&amp;"es",IF(RIGHT(H74,1)="m",LEFT(H74,LEN(H74)-1)&amp;"ns",H74&amp;"s")))))</f>
        <v/>
      </c>
    </row>
    <row r="75">
      <c r="A75" s="3">
        <f>IF(OR(G75="",I75=""),"(falta traduzir)",F75&amp;" "&amp;I75&amp;" "&amp;G75)</f>
        <v/>
      </c>
      <c r="B75" t="inlineStr">
        <is>
          <t>镇枫落石术</t>
        </is>
      </c>
      <c r="C75" t="inlineStr">
        <is>
          <t>City's Maple Falling Rock</t>
        </is>
      </c>
      <c r="D75" t="n">
        <v>41</v>
      </c>
      <c r="E75" t="n">
        <v>321</v>
      </c>
      <c r="F75" t="inlineStr">
        <is>
          <t>Queda de Rochas</t>
        </is>
      </c>
      <c r="G75" s="4">
        <f>INDEX('Peça 1'!F:F,MATCH(D75,'Peça 1'!A:A,0))&amp;""</f>
        <v/>
      </c>
      <c r="H75" s="4">
        <f>IF(AND(INDEX('Nomes-base'!B:B,MATCH(F75,'Nomes-base'!A:A,0))="f",INDEX('Peça 2'!G:G,MATCH(E75,'Peça 2'!A:A,0))&amp;""&lt;&gt;""),INDEX('Peça 2'!G:G,MATCH(E75,'Peça 2'!A:A,0))&amp;"",INDEX('Peça 2'!F:F,MATCH(E75,'Peça 2'!A:A,0))&amp;"")</f>
        <v/>
      </c>
      <c r="I75" s="4">
        <f>IF(OR(H75="",ISNUMBER(SEARCH(" ",H75)),INDEX('Nomes-base'!C:C,MATCH(F75,'Nomes-base'!A:A,0))&lt;&gt;"p"),H75,IF(RIGHT(H75,1)="s",H75,IF(RIGHT(H75,1)="l",LEFT(H75,LEN(H75)-1)&amp;"is",IF(OR(RIGHT(H75,1)="r",RIGHT(H75,1)="z"),H75&amp;"es",IF(RIGHT(H75,1)="m",LEFT(H75,LEN(H75)-1)&amp;"ns",H75&amp;"s")))))</f>
        <v/>
      </c>
    </row>
    <row r="76">
      <c r="A76" s="3">
        <f>IF(OR(G76="",I76=""),"(falta traduzir)",F76&amp;" "&amp;I76&amp;" "&amp;G76)</f>
        <v/>
      </c>
      <c r="B76" t="inlineStr">
        <is>
          <t>渡寰疾龙破</t>
        </is>
      </c>
      <c r="C76" t="inlineStr">
        <is>
          <t>Canal's Landed Sprinting Dragon Rising</t>
        </is>
      </c>
      <c r="D76" t="n">
        <v>42</v>
      </c>
      <c r="E76" t="n">
        <v>394</v>
      </c>
      <c r="F76" t="inlineStr">
        <is>
          <t>Ascensão do Dragão Veloz</t>
        </is>
      </c>
      <c r="G76" s="4">
        <f>INDEX('Peça 1'!F:F,MATCH(D76,'Peça 1'!A:A,0))&amp;""</f>
        <v/>
      </c>
      <c r="H76" s="4">
        <f>IF(AND(INDEX('Nomes-base'!B:B,MATCH(F76,'Nomes-base'!A:A,0))="f",INDEX('Peça 2'!G:G,MATCH(E76,'Peça 2'!A:A,0))&amp;""&lt;&gt;""),INDEX('Peça 2'!G:G,MATCH(E76,'Peça 2'!A:A,0))&amp;"",INDEX('Peça 2'!F:F,MATCH(E76,'Peça 2'!A:A,0))&amp;"")</f>
        <v/>
      </c>
      <c r="I76" s="4">
        <f>IF(OR(H76="",ISNUMBER(SEARCH(" ",H76)),INDEX('Nomes-base'!C:C,MATCH(F76,'Nomes-base'!A:A,0))&lt;&gt;"p"),H76,IF(RIGHT(H76,1)="s",H76,IF(RIGHT(H76,1)="l",LEFT(H76,LEN(H76)-1)&amp;"is",IF(OR(RIGHT(H76,1)="r",RIGHT(H76,1)="z"),H76&amp;"es",IF(RIGHT(H76,1)="m",LEFT(H76,LEN(H76)-1)&amp;"ns",H76&amp;"s")))))</f>
        <v/>
      </c>
    </row>
    <row r="77">
      <c r="A77" s="3">
        <f>IF(OR(G77="",I77=""),"(falta traduzir)",F77&amp;" "&amp;I77&amp;" "&amp;G77)</f>
        <v/>
      </c>
      <c r="B77" t="inlineStr">
        <is>
          <t>夺凝跃</t>
        </is>
      </c>
      <c r="C77" t="inlineStr">
        <is>
          <t>Thief's Focusing Leap</t>
        </is>
      </c>
      <c r="D77" t="n">
        <v>43</v>
      </c>
      <c r="E77" t="n">
        <v>267</v>
      </c>
      <c r="F77" t="inlineStr">
        <is>
          <t>Salto</t>
        </is>
      </c>
      <c r="G77" s="4">
        <f>INDEX('Peça 1'!F:F,MATCH(D77,'Peça 1'!A:A,0))&amp;""</f>
        <v/>
      </c>
      <c r="H77" s="4">
        <f>IF(AND(INDEX('Nomes-base'!B:B,MATCH(F77,'Nomes-base'!A:A,0))="f",INDEX('Peça 2'!G:G,MATCH(E77,'Peça 2'!A:A,0))&amp;""&lt;&gt;""),INDEX('Peça 2'!G:G,MATCH(E77,'Peça 2'!A:A,0))&amp;"",INDEX('Peça 2'!F:F,MATCH(E77,'Peça 2'!A:A,0))&amp;"")</f>
        <v/>
      </c>
      <c r="I77" s="4">
        <f>IF(OR(H77="",ISNUMBER(SEARCH(" ",H77)),INDEX('Nomes-base'!C:C,MATCH(F77,'Nomes-base'!A:A,0))&lt;&gt;"p"),H77,IF(RIGHT(H77,1)="s",H77,IF(RIGHT(H77,1)="l",LEFT(H77,LEN(H77)-1)&amp;"is",IF(OR(RIGHT(H77,1)="r",RIGHT(H77,1)="z"),H77&amp;"es",IF(RIGHT(H77,1)="m",LEFT(H77,LEN(H77)-1)&amp;"ns",H77&amp;"s")))))</f>
        <v/>
      </c>
    </row>
    <row r="78">
      <c r="A78" s="3">
        <f>IF(OR(G78="",I78=""),"(falta traduzir)",F78&amp;" "&amp;I78&amp;" "&amp;G78)</f>
        <v/>
      </c>
      <c r="B78" t="inlineStr">
        <is>
          <t>碎焰御术</t>
        </is>
      </c>
      <c r="C78" t="inlineStr">
        <is>
          <t>Crusher's Flaming Drift</t>
        </is>
      </c>
      <c r="D78" t="n">
        <v>44</v>
      </c>
      <c r="E78" t="n">
        <v>340</v>
      </c>
      <c r="F78" t="inlineStr">
        <is>
          <t>Deriva</t>
        </is>
      </c>
      <c r="G78" s="4">
        <f>INDEX('Peça 1'!F:F,MATCH(D78,'Peça 1'!A:A,0))&amp;""</f>
        <v/>
      </c>
      <c r="H78" s="4">
        <f>IF(AND(INDEX('Nomes-base'!B:B,MATCH(F78,'Nomes-base'!A:A,0))="f",INDEX('Peça 2'!G:G,MATCH(E78,'Peça 2'!A:A,0))&amp;""&lt;&gt;""),INDEX('Peça 2'!G:G,MATCH(E78,'Peça 2'!A:A,0))&amp;"",INDEX('Peça 2'!F:F,MATCH(E78,'Peça 2'!A:A,0))&amp;"")</f>
        <v/>
      </c>
      <c r="I78" s="4">
        <f>IF(OR(H78="",ISNUMBER(SEARCH(" ",H78)),INDEX('Nomes-base'!C:C,MATCH(F78,'Nomes-base'!A:A,0))&lt;&gt;"p"),H78,IF(RIGHT(H78,1)="s",H78,IF(RIGHT(H78,1)="l",LEFT(H78,LEN(H78)-1)&amp;"is",IF(OR(RIGHT(H78,1)="r",RIGHT(H78,1)="z"),H78&amp;"es",IF(RIGHT(H78,1)="m",LEFT(H78,LEN(H78)-1)&amp;"ns",H78&amp;"s")))))</f>
        <v/>
      </c>
    </row>
    <row r="79">
      <c r="A79" s="3">
        <f>IF(OR(G79="",I79=""),"(falta traduzir)",F79&amp;" "&amp;I79&amp;" "&amp;G79)</f>
        <v/>
      </c>
      <c r="B79" t="inlineStr">
        <is>
          <t>灭元经</t>
        </is>
      </c>
      <c r="C79" t="inlineStr">
        <is>
          <t>Ruiner's Original Sutra</t>
        </is>
      </c>
      <c r="D79" t="n">
        <v>45</v>
      </c>
      <c r="E79" t="n">
        <v>213</v>
      </c>
      <c r="F79" t="inlineStr">
        <is>
          <t>Sutra</t>
        </is>
      </c>
      <c r="G79" s="4">
        <f>INDEX('Peça 1'!F:F,MATCH(D79,'Peça 1'!A:A,0))&amp;""</f>
        <v/>
      </c>
      <c r="H79" s="4">
        <f>IF(AND(INDEX('Nomes-base'!B:B,MATCH(F79,'Nomes-base'!A:A,0))="f",INDEX('Peça 2'!G:G,MATCH(E79,'Peça 2'!A:A,0))&amp;""&lt;&gt;""),INDEX('Peça 2'!G:G,MATCH(E79,'Peça 2'!A:A,0))&amp;"",INDEX('Peça 2'!F:F,MATCH(E79,'Peça 2'!A:A,0))&amp;"")</f>
        <v/>
      </c>
      <c r="I79" s="4">
        <f>IF(OR(H79="",ISNUMBER(SEARCH(" ",H79)),INDEX('Nomes-base'!C:C,MATCH(F79,'Nomes-base'!A:A,0))&lt;&gt;"p"),H79,IF(RIGHT(H79,1)="s",H79,IF(RIGHT(H79,1)="l",LEFT(H79,LEN(H79)-1)&amp;"is",IF(OR(RIGHT(H79,1)="r",RIGHT(H79,1)="z"),H79&amp;"es",IF(RIGHT(H79,1)="m",LEFT(H79,LEN(H79)-1)&amp;"ns",H79&amp;"s")))))</f>
        <v/>
      </c>
    </row>
    <row r="80">
      <c r="A80" s="3">
        <f>IF(OR(G80="",I80=""),"(falta traduzir)",F80&amp;" "&amp;I80&amp;" "&amp;G80)</f>
        <v/>
      </c>
      <c r="B80" t="inlineStr">
        <is>
          <t>轻虚贯龙枪</t>
        </is>
      </c>
      <c r="C80" t="inlineStr">
        <is>
          <t>Feather's Voidborn Splitting Dragon Spear</t>
        </is>
      </c>
      <c r="D80" t="n">
        <v>46</v>
      </c>
      <c r="E80" t="n">
        <v>286</v>
      </c>
      <c r="F80" t="inlineStr">
        <is>
          <t>Lança do Dragão Fendente</t>
        </is>
      </c>
      <c r="G80" s="4">
        <f>INDEX('Peça 1'!F:F,MATCH(D80,'Peça 1'!A:A,0))&amp;""</f>
        <v/>
      </c>
      <c r="H80" s="4">
        <f>IF(AND(INDEX('Nomes-base'!B:B,MATCH(F80,'Nomes-base'!A:A,0))="f",INDEX('Peça 2'!G:G,MATCH(E80,'Peça 2'!A:A,0))&amp;""&lt;&gt;""),INDEX('Peça 2'!G:G,MATCH(E80,'Peça 2'!A:A,0))&amp;"",INDEX('Peça 2'!F:F,MATCH(E80,'Peça 2'!A:A,0))&amp;"")</f>
        <v/>
      </c>
      <c r="I80" s="4">
        <f>IF(OR(H80="",ISNUMBER(SEARCH(" ",H80)),INDEX('Nomes-base'!C:C,MATCH(F80,'Nomes-base'!A:A,0))&lt;&gt;"p"),H80,IF(RIGHT(H80,1)="s",H80,IF(RIGHT(H80,1)="l",LEFT(H80,LEN(H80)-1)&amp;"is",IF(OR(RIGHT(H80,1)="r",RIGHT(H80,1)="z"),H80&amp;"es",IF(RIGHT(H80,1)="m",LEFT(H80,LEN(H80)-1)&amp;"ns",H80&amp;"s")))))</f>
        <v/>
      </c>
    </row>
    <row r="81">
      <c r="A81" s="3">
        <f>IF(OR(G81="",I81=""),"(falta traduzir)",F81&amp;" "&amp;I81&amp;" "&amp;G81)</f>
        <v/>
      </c>
      <c r="B81" t="inlineStr">
        <is>
          <t>绝叶毒沼术</t>
        </is>
      </c>
      <c r="C81" t="inlineStr">
        <is>
          <t>Ender's Leafy Poisonous Marsh</t>
        </is>
      </c>
      <c r="D81" t="n">
        <v>47</v>
      </c>
      <c r="E81" t="n">
        <v>359</v>
      </c>
      <c r="F81" t="inlineStr">
        <is>
          <t>Pântano Venenoso</t>
        </is>
      </c>
      <c r="G81" s="4">
        <f>INDEX('Peça 1'!F:F,MATCH(D81,'Peça 1'!A:A,0))&amp;""</f>
        <v/>
      </c>
      <c r="H81" s="4">
        <f>IF(AND(INDEX('Nomes-base'!B:B,MATCH(F81,'Nomes-base'!A:A,0))="f",INDEX('Peça 2'!G:G,MATCH(E81,'Peça 2'!A:A,0))&amp;""&lt;&gt;""),INDEX('Peça 2'!G:G,MATCH(E81,'Peça 2'!A:A,0))&amp;"",INDEX('Peça 2'!F:F,MATCH(E81,'Peça 2'!A:A,0))&amp;"")</f>
        <v/>
      </c>
      <c r="I81" s="4">
        <f>IF(OR(H81="",ISNUMBER(SEARCH(" ",H81)),INDEX('Nomes-base'!C:C,MATCH(F81,'Nomes-base'!A:A,0))&lt;&gt;"p"),H81,IF(RIGHT(H81,1)="s",H81,IF(RIGHT(H81,1)="l",LEFT(H81,LEN(H81)-1)&amp;"is",IF(OR(RIGHT(H81,1)="r",RIGHT(H81,1)="z"),H81&amp;"es",IF(RIGHT(H81,1)="m",LEFT(H81,LEN(H81)-1)&amp;"ns",H81&amp;"s")))))</f>
        <v/>
      </c>
    </row>
    <row r="82">
      <c r="A82" s="3">
        <f>IF(OR(G82="",I82=""),"(falta traduzir)",F82&amp;" "&amp;I82&amp;" "&amp;G82)</f>
        <v/>
      </c>
      <c r="B82" t="inlineStr">
        <is>
          <t>幽光怒血斩</t>
        </is>
      </c>
      <c r="C82" t="inlineStr">
        <is>
          <t>Gloom's Light Furyblood Cleave</t>
        </is>
      </c>
      <c r="D82" t="n">
        <v>48</v>
      </c>
      <c r="E82" t="n">
        <v>232</v>
      </c>
      <c r="F82" t="inlineStr">
        <is>
          <t>Corte do Sangue Furioso</t>
        </is>
      </c>
      <c r="G82" s="4">
        <f>INDEX('Peça 1'!F:F,MATCH(D82,'Peça 1'!A:A,0))&amp;""</f>
        <v/>
      </c>
      <c r="H82" s="4">
        <f>IF(AND(INDEX('Nomes-base'!B:B,MATCH(F82,'Nomes-base'!A:A,0))="f",INDEX('Peça 2'!G:G,MATCH(E82,'Peça 2'!A:A,0))&amp;""&lt;&gt;""),INDEX('Peça 2'!G:G,MATCH(E82,'Peça 2'!A:A,0))&amp;"",INDEX('Peça 2'!F:F,MATCH(E82,'Peça 2'!A:A,0))&amp;"")</f>
        <v/>
      </c>
      <c r="I82" s="4">
        <f>IF(OR(H82="",ISNUMBER(SEARCH(" ",H82)),INDEX('Nomes-base'!C:C,MATCH(F82,'Nomes-base'!A:A,0))&lt;&gt;"p"),H82,IF(RIGHT(H82,1)="s",H82,IF(RIGHT(H82,1)="l",LEFT(H82,LEN(H82)-1)&amp;"is",IF(OR(RIGHT(H82,1)="r",RIGHT(H82,1)="z"),H82&amp;"es",IF(RIGHT(H82,1)="m",LEFT(H82,LEN(H82)-1)&amp;"ns",H82&amp;"s")))))</f>
        <v/>
      </c>
    </row>
    <row r="83">
      <c r="A83" s="3">
        <f>IF(OR(G83="",I83=""),"(falta traduzir)",F83&amp;" "&amp;I83&amp;" "&amp;G83)</f>
        <v/>
      </c>
      <c r="B83" t="inlineStr">
        <is>
          <t>青鼎遁</t>
        </is>
      </c>
      <c r="C83" t="inlineStr">
        <is>
          <t>Cobalt's Vesseled Burrow</t>
        </is>
      </c>
      <c r="D83" t="n">
        <v>49</v>
      </c>
      <c r="E83" t="n">
        <v>305</v>
      </c>
      <c r="F83" t="inlineStr">
        <is>
          <t>Escavação</t>
        </is>
      </c>
      <c r="G83" s="4">
        <f>INDEX('Peça 1'!F:F,MATCH(D83,'Peça 1'!A:A,0))&amp;""</f>
        <v/>
      </c>
      <c r="H83" s="4">
        <f>IF(AND(INDEX('Nomes-base'!B:B,MATCH(F83,'Nomes-base'!A:A,0))="f",INDEX('Peça 2'!G:G,MATCH(E83,'Peça 2'!A:A,0))&amp;""&lt;&gt;""),INDEX('Peça 2'!G:G,MATCH(E83,'Peça 2'!A:A,0))&amp;"",INDEX('Peça 2'!F:F,MATCH(E83,'Peça 2'!A:A,0))&amp;"")</f>
        <v/>
      </c>
      <c r="I83" s="4">
        <f>IF(OR(H83="",ISNUMBER(SEARCH(" ",H83)),INDEX('Nomes-base'!C:C,MATCH(F83,'Nomes-base'!A:A,0))&lt;&gt;"p"),H83,IF(RIGHT(H83,1)="s",H83,IF(RIGHT(H83,1)="l",LEFT(H83,LEN(H83)-1)&amp;"is",IF(OR(RIGHT(H83,1)="r",RIGHT(H83,1)="z"),H83&amp;"es",IF(RIGHT(H83,1)="m",LEFT(H83,LEN(H83)-1)&amp;"ns",H83&amp;"s")))))</f>
        <v/>
      </c>
    </row>
    <row r="84">
      <c r="A84" s="3">
        <f>IF(OR(G84="",I84=""),"(falta traduzir)",F84&amp;" "&amp;I84&amp;" "&amp;G84)</f>
        <v/>
      </c>
      <c r="B84" t="inlineStr">
        <is>
          <t>赤炼影</t>
        </is>
      </c>
      <c r="C84" t="inlineStr">
        <is>
          <t>Gore's Forging Shadow</t>
        </is>
      </c>
      <c r="D84" t="n">
        <v>50</v>
      </c>
      <c r="E84" t="n">
        <v>378</v>
      </c>
      <c r="F84" t="inlineStr">
        <is>
          <t>Sombra</t>
        </is>
      </c>
      <c r="G84" s="4">
        <f>INDEX('Peça 1'!F:F,MATCH(D84,'Peça 1'!A:A,0))&amp;""</f>
        <v/>
      </c>
      <c r="H84" s="4">
        <f>IF(AND(INDEX('Nomes-base'!B:B,MATCH(F84,'Nomes-base'!A:A,0))="f",INDEX('Peça 2'!G:G,MATCH(E84,'Peça 2'!A:A,0))&amp;""&lt;&gt;""),INDEX('Peça 2'!G:G,MATCH(E84,'Peça 2'!A:A,0))&amp;"",INDEX('Peça 2'!F:F,MATCH(E84,'Peça 2'!A:A,0))&amp;"")</f>
        <v/>
      </c>
      <c r="I84" s="4">
        <f>IF(OR(H84="",ISNUMBER(SEARCH(" ",H84)),INDEX('Nomes-base'!C:C,MATCH(F84,'Nomes-base'!A:A,0))&lt;&gt;"p"),H84,IF(RIGHT(H84,1)="s",H84,IF(RIGHT(H84,1)="l",LEFT(H84,LEN(H84)-1)&amp;"is",IF(OR(RIGHT(H84,1)="r",RIGHT(H84,1)="z"),H84&amp;"es",IF(RIGHT(H84,1)="m",LEFT(H84,LEN(H84)-1)&amp;"ns",H84&amp;"s")))))</f>
        <v/>
      </c>
    </row>
    <row r="85">
      <c r="A85" s="3">
        <f>IF(OR(G85="",I85=""),"(falta traduzir)",F85&amp;" "&amp;I85&amp;" "&amp;G85)</f>
        <v/>
      </c>
      <c r="B85" t="inlineStr">
        <is>
          <t>金魄录</t>
        </is>
      </c>
      <c r="C85" t="inlineStr">
        <is>
          <t>Gilder's Hearty Compendium</t>
        </is>
      </c>
      <c r="D85" t="n">
        <v>51</v>
      </c>
      <c r="E85" t="n">
        <v>251</v>
      </c>
      <c r="F85" t="inlineStr">
        <is>
          <t>Compêndio</t>
        </is>
      </c>
      <c r="G85" s="4">
        <f>INDEX('Peça 1'!F:F,MATCH(D85,'Peça 1'!A:A,0))&amp;""</f>
        <v/>
      </c>
      <c r="H85" s="4">
        <f>IF(AND(INDEX('Nomes-base'!B:B,MATCH(F85,'Nomes-base'!A:A,0))="f",INDEX('Peça 2'!G:G,MATCH(E85,'Peça 2'!A:A,0))&amp;""&lt;&gt;""),INDEX('Peça 2'!G:G,MATCH(E85,'Peça 2'!A:A,0))&amp;"",INDEX('Peça 2'!F:F,MATCH(E85,'Peça 2'!A:A,0))&amp;"")</f>
        <v/>
      </c>
      <c r="I85" s="4">
        <f>IF(OR(H85="",ISNUMBER(SEARCH(" ",H85)),INDEX('Nomes-base'!C:C,MATCH(F85,'Nomes-base'!A:A,0))&lt;&gt;"p"),H85,IF(RIGHT(H85,1)="s",H85,IF(RIGHT(H85,1)="l",LEFT(H85,LEN(H85)-1)&amp;"is",IF(OR(RIGHT(H85,1)="r",RIGHT(H85,1)="z"),H85&amp;"es",IF(RIGHT(H85,1)="m",LEFT(H85,LEN(H85)-1)&amp;"ns",H85&amp;"s")))))</f>
        <v/>
      </c>
    </row>
    <row r="86">
      <c r="A86" s="3">
        <f>IF(OR(G86="",I86=""),"(falta traduzir)",F86&amp;" "&amp;I86&amp;" "&amp;G86)</f>
        <v/>
      </c>
      <c r="B86" t="inlineStr">
        <is>
          <t>黑凤雷光术</t>
        </is>
      </c>
      <c r="C86" t="inlineStr">
        <is>
          <t>Obsidian's Windy Voltshot</t>
        </is>
      </c>
      <c r="D86" t="n">
        <v>52</v>
      </c>
      <c r="E86" t="n">
        <v>324</v>
      </c>
      <c r="F86" t="inlineStr">
        <is>
          <t>Disparo Elétrico</t>
        </is>
      </c>
      <c r="G86" s="4">
        <f>INDEX('Peça 1'!F:F,MATCH(D86,'Peça 1'!A:A,0))&amp;""</f>
        <v/>
      </c>
      <c r="H86" s="4">
        <f>IF(AND(INDEX('Nomes-base'!B:B,MATCH(F86,'Nomes-base'!A:A,0))="f",INDEX('Peça 2'!G:G,MATCH(E86,'Peça 2'!A:A,0))&amp;""&lt;&gt;""),INDEX('Peça 2'!G:G,MATCH(E86,'Peça 2'!A:A,0))&amp;"",INDEX('Peça 2'!F:F,MATCH(E86,'Peça 2'!A:A,0))&amp;"")</f>
        <v/>
      </c>
      <c r="I86" s="4">
        <f>IF(OR(H86="",ISNUMBER(SEARCH(" ",H86)),INDEX('Nomes-base'!C:C,MATCH(F86,'Nomes-base'!A:A,0))&lt;&gt;"p"),H86,IF(RIGHT(H86,1)="s",H86,IF(RIGHT(H86,1)="l",LEFT(H86,LEN(H86)-1)&amp;"is",IF(OR(RIGHT(H86,1)="r",RIGHT(H86,1)="z"),H86&amp;"es",IF(RIGHT(H86,1)="m",LEFT(H86,LEN(H86)-1)&amp;"ns",H86&amp;"s")))))</f>
        <v/>
      </c>
    </row>
    <row r="87">
      <c r="A87" s="3">
        <f>IF(OR(G87="",I87=""),"(falta traduzir)",F87&amp;" "&amp;I87&amp;" "&amp;G87)</f>
        <v/>
      </c>
      <c r="B87" t="inlineStr">
        <is>
          <t>红南霜灵爆</t>
        </is>
      </c>
      <c r="C87" t="inlineStr">
        <is>
          <t>Ruby's Southern Frost Spirit Blast</t>
        </is>
      </c>
      <c r="D87" t="n">
        <v>53</v>
      </c>
      <c r="E87" t="n">
        <v>397</v>
      </c>
      <c r="F87" t="inlineStr">
        <is>
          <t>Explosão de Espírito Gélido</t>
        </is>
      </c>
      <c r="G87" s="4">
        <f>INDEX('Peça 1'!F:F,MATCH(D87,'Peça 1'!A:A,0))&amp;""</f>
        <v/>
      </c>
      <c r="H87" s="4">
        <f>IF(AND(INDEX('Nomes-base'!B:B,MATCH(F87,'Nomes-base'!A:A,0))="f",INDEX('Peça 2'!G:G,MATCH(E87,'Peça 2'!A:A,0))&amp;""&lt;&gt;""),INDEX('Peça 2'!G:G,MATCH(E87,'Peça 2'!A:A,0))&amp;"",INDEX('Peça 2'!F:F,MATCH(E87,'Peça 2'!A:A,0))&amp;"")</f>
        <v/>
      </c>
      <c r="I87" s="4">
        <f>IF(OR(H87="",ISNUMBER(SEARCH(" ",H87)),INDEX('Nomes-base'!C:C,MATCH(F87,'Nomes-base'!A:A,0))&lt;&gt;"p"),H87,IF(RIGHT(H87,1)="s",H87,IF(RIGHT(H87,1)="l",LEFT(H87,LEN(H87)-1)&amp;"is",IF(OR(RIGHT(H87,1)="r",RIGHT(H87,1)="z"),H87&amp;"es",IF(RIGHT(H87,1)="m",LEFT(H87,LEN(H87)-1)&amp;"ns",H87&amp;"s")))))</f>
        <v/>
      </c>
    </row>
    <row r="88">
      <c r="A88" s="3">
        <f>IF(OR(G88="",I88=""),"(falta traduzir)",F88&amp;" "&amp;I88&amp;" "&amp;G88)</f>
        <v/>
      </c>
      <c r="B88" t="inlineStr">
        <is>
          <t>银渡幻</t>
        </is>
      </c>
      <c r="C88" t="inlineStr">
        <is>
          <t>Silver's Gliding Illusion</t>
        </is>
      </c>
      <c r="D88" t="n">
        <v>54</v>
      </c>
      <c r="E88" t="n">
        <v>270</v>
      </c>
      <c r="F88" t="inlineStr">
        <is>
          <t>Ilusão</t>
        </is>
      </c>
      <c r="G88" s="4">
        <f>INDEX('Peça 1'!F:F,MATCH(D88,'Peça 1'!A:A,0))&amp;""</f>
        <v/>
      </c>
      <c r="H88" s="4">
        <f>IF(AND(INDEX('Nomes-base'!B:B,MATCH(F88,'Nomes-base'!A:A,0))="f",INDEX('Peça 2'!G:G,MATCH(E88,'Peça 2'!A:A,0))&amp;""&lt;&gt;""),INDEX('Peça 2'!G:G,MATCH(E88,'Peça 2'!A:A,0))&amp;"",INDEX('Peça 2'!F:F,MATCH(E88,'Peça 2'!A:A,0))&amp;"")</f>
        <v/>
      </c>
      <c r="I88" s="4">
        <f>IF(OR(H88="",ISNUMBER(SEARCH(" ",H88)),INDEX('Nomes-base'!C:C,MATCH(F88,'Nomes-base'!A:A,0))&lt;&gt;"p"),H88,IF(RIGHT(H88,1)="s",H88,IF(RIGHT(H88,1)="l",LEFT(H88,LEN(H88)-1)&amp;"is",IF(OR(RIGHT(H88,1)="r",RIGHT(H88,1)="z"),H88&amp;"es",IF(RIGHT(H88,1)="m",LEFT(H88,LEN(H88)-1)&amp;"ns",H88&amp;"s")))))</f>
        <v/>
      </c>
    </row>
    <row r="89">
      <c r="A89" s="3">
        <f>IF(OR(G89="",I89=""),"(falta traduzir)",F89&amp;" "&amp;I89&amp;" "&amp;G89)</f>
        <v/>
      </c>
      <c r="B89" t="inlineStr">
        <is>
          <t>禁残冲</t>
        </is>
      </c>
      <c r="C89" t="inlineStr">
        <is>
          <t>Sealer's Defected Charge</t>
        </is>
      </c>
      <c r="D89" t="n">
        <v>55</v>
      </c>
      <c r="E89" t="n">
        <v>343</v>
      </c>
      <c r="F89" t="inlineStr">
        <is>
          <t>Carga</t>
        </is>
      </c>
      <c r="G89" s="4">
        <f>INDEX('Peça 1'!F:F,MATCH(D89,'Peça 1'!A:A,0))&amp;""</f>
        <v/>
      </c>
      <c r="H89" s="4">
        <f>IF(AND(INDEX('Nomes-base'!B:B,MATCH(F89,'Nomes-base'!A:A,0))="f",INDEX('Peça 2'!G:G,MATCH(E89,'Peça 2'!A:A,0))&amp;""&lt;&gt;""),INDEX('Peça 2'!G:G,MATCH(E89,'Peça 2'!A:A,0))&amp;"",INDEX('Peça 2'!F:F,MATCH(E89,'Peça 2'!A:A,0))&amp;"")</f>
        <v/>
      </c>
      <c r="I89" s="4">
        <f>IF(OR(H89="",ISNUMBER(SEARCH(" ",H89)),INDEX('Nomes-base'!C:C,MATCH(F89,'Nomes-base'!A:A,0))&lt;&gt;"p"),H89,IF(RIGHT(H89,1)="s",H89,IF(RIGHT(H89,1)="l",LEFT(H89,LEN(H89)-1)&amp;"is",IF(OR(RIGHT(H89,1)="r",RIGHT(H89,1)="z"),H89&amp;"es",IF(RIGHT(H89,1)="m",LEFT(H89,LEN(H89)-1)&amp;"ns",H89&amp;"s")))))</f>
        <v/>
      </c>
    </row>
    <row r="90">
      <c r="A90" s="3">
        <f>IF(OR(G90="",I90=""),"(falta traduzir)",F90&amp;" "&amp;I90&amp;" "&amp;G90)</f>
        <v/>
      </c>
      <c r="B90" t="inlineStr">
        <is>
          <t>残仞劲</t>
        </is>
      </c>
      <c r="C90" t="inlineStr">
        <is>
          <t>Goner's Edged Move</t>
        </is>
      </c>
      <c r="D90" t="n">
        <v>56</v>
      </c>
      <c r="E90" t="n">
        <v>216</v>
      </c>
      <c r="F90" t="inlineStr">
        <is>
          <t>Movimentação</t>
        </is>
      </c>
      <c r="G90" s="4">
        <f>INDEX('Peça 1'!F:F,MATCH(D90,'Peça 1'!A:A,0))&amp;""</f>
        <v/>
      </c>
      <c r="H90" s="4">
        <f>IF(AND(INDEX('Nomes-base'!B:B,MATCH(F90,'Nomes-base'!A:A,0))="f",INDEX('Peça 2'!G:G,MATCH(E90,'Peça 2'!A:A,0))&amp;""&lt;&gt;""),INDEX('Peça 2'!G:G,MATCH(E90,'Peça 2'!A:A,0))&amp;"",INDEX('Peça 2'!F:F,MATCH(E90,'Peça 2'!A:A,0))&amp;"")</f>
        <v/>
      </c>
      <c r="I90" s="4">
        <f>IF(OR(H90="",ISNUMBER(SEARCH(" ",H90)),INDEX('Nomes-base'!C:C,MATCH(F90,'Nomes-base'!A:A,0))&lt;&gt;"p"),H90,IF(RIGHT(H90,1)="s",H90,IF(RIGHT(H90,1)="l",LEFT(H90,LEN(H90)-1)&amp;"is",IF(OR(RIGHT(H90,1)="r",RIGHT(H90,1)="z"),H90&amp;"es",IF(RIGHT(H90,1)="m",LEFT(H90,LEN(H90)-1)&amp;"ns",H90&amp;"s")))))</f>
        <v/>
      </c>
    </row>
    <row r="91">
      <c r="A91" s="3">
        <f>IF(OR(G91="",I91=""),"(falta traduzir)",F91&amp;" "&amp;I91&amp;" "&amp;G91)</f>
        <v/>
      </c>
      <c r="B91" t="inlineStr">
        <is>
          <t>天浪青涛掌</t>
        </is>
      </c>
      <c r="C91" t="inlineStr">
        <is>
          <t>Sky's Wavy Greenwave Palm</t>
        </is>
      </c>
      <c r="D91" t="n">
        <v>57</v>
      </c>
      <c r="E91" t="n">
        <v>289</v>
      </c>
      <c r="F91" t="inlineStr">
        <is>
          <t>Palma da Onda Verde</t>
        </is>
      </c>
      <c r="G91" s="4">
        <f>INDEX('Peça 1'!F:F,MATCH(D91,'Peça 1'!A:A,0))&amp;""</f>
        <v/>
      </c>
      <c r="H91" s="4">
        <f>IF(AND(INDEX('Nomes-base'!B:B,MATCH(F91,'Nomes-base'!A:A,0))="f",INDEX('Peça 2'!G:G,MATCH(E91,'Peça 2'!A:A,0))&amp;""&lt;&gt;""),INDEX('Peça 2'!G:G,MATCH(E91,'Peça 2'!A:A,0))&amp;"",INDEX('Peça 2'!F:F,MATCH(E91,'Peça 2'!A:A,0))&amp;"")</f>
        <v/>
      </c>
      <c r="I91" s="4">
        <f>IF(OR(H91="",ISNUMBER(SEARCH(" ",H91)),INDEX('Nomes-base'!C:C,MATCH(F91,'Nomes-base'!A:A,0))&lt;&gt;"p"),H91,IF(RIGHT(H91,1)="s",H91,IF(RIGHT(H91,1)="l",LEFT(H91,LEN(H91)-1)&amp;"is",IF(OR(RIGHT(H91,1)="r",RIGHT(H91,1)="z"),H91&amp;"es",IF(RIGHT(H91,1)="m",LEFT(H91,LEN(H91)-1)&amp;"ns",H91&amp;"s")))))</f>
        <v/>
      </c>
    </row>
    <row r="92">
      <c r="A92" s="3">
        <f>IF(OR(G92="",I92=""),"(falta traduzir)",F92&amp;" "&amp;I92&amp;" "&amp;G92)</f>
        <v/>
      </c>
      <c r="B92" t="inlineStr">
        <is>
          <t>幻衍灵虚爆</t>
        </is>
      </c>
      <c r="C92" t="inlineStr">
        <is>
          <t>Mirage's Deducing Void Spirit Blast</t>
        </is>
      </c>
      <c r="D92" t="n">
        <v>58</v>
      </c>
      <c r="E92" t="n">
        <v>362</v>
      </c>
      <c r="F92" t="inlineStr">
        <is>
          <t>Explosão de Espírito do Vazio</t>
        </is>
      </c>
      <c r="G92" s="4">
        <f>INDEX('Peça 1'!F:F,MATCH(D92,'Peça 1'!A:A,0))&amp;""</f>
        <v/>
      </c>
      <c r="H92" s="4">
        <f>IF(AND(INDEX('Nomes-base'!B:B,MATCH(F92,'Nomes-base'!A:A,0))="f",INDEX('Peça 2'!G:G,MATCH(E92,'Peça 2'!A:A,0))&amp;""&lt;&gt;""),INDEX('Peça 2'!G:G,MATCH(E92,'Peça 2'!A:A,0))&amp;"",INDEX('Peça 2'!F:F,MATCH(E92,'Peça 2'!A:A,0))&amp;"")</f>
        <v/>
      </c>
      <c r="I92" s="4">
        <f>IF(OR(H92="",ISNUMBER(SEARCH(" ",H92)),INDEX('Nomes-base'!C:C,MATCH(F92,'Nomes-base'!A:A,0))&lt;&gt;"p"),H92,IF(RIGHT(H92,1)="s",H92,IF(RIGHT(H92,1)="l",LEFT(H92,LEN(H92)-1)&amp;"is",IF(OR(RIGHT(H92,1)="r",RIGHT(H92,1)="z"),H92&amp;"es",IF(RIGHT(H92,1)="m",LEFT(H92,LEN(H92)-1)&amp;"ns",H92&amp;"s")))))</f>
        <v/>
      </c>
    </row>
    <row r="93">
      <c r="A93" s="3">
        <f>IF(OR(G93="",I93=""),"(falta traduzir)",F93&amp;" "&amp;I93&amp;" "&amp;G93)</f>
        <v/>
      </c>
      <c r="B93" t="inlineStr">
        <is>
          <t>疾魔神功</t>
        </is>
      </c>
      <c r="C93" t="inlineStr">
        <is>
          <t>Alacrity's Demonic Divine Power</t>
        </is>
      </c>
      <c r="D93" t="n">
        <v>59</v>
      </c>
      <c r="E93" t="n">
        <v>235</v>
      </c>
      <c r="F93" t="inlineStr">
        <is>
          <t>Poder Divino</t>
        </is>
      </c>
      <c r="G93" s="4">
        <f>INDEX('Peça 1'!F:F,MATCH(D93,'Peça 1'!A:A,0))&amp;""</f>
        <v/>
      </c>
      <c r="H93" s="4">
        <f>IF(AND(INDEX('Nomes-base'!B:B,MATCH(F93,'Nomes-base'!A:A,0))="f",INDEX('Peça 2'!G:G,MATCH(E93,'Peça 2'!A:A,0))&amp;""&lt;&gt;""),INDEX('Peça 2'!G:G,MATCH(E93,'Peça 2'!A:A,0))&amp;"",INDEX('Peça 2'!F:F,MATCH(E93,'Peça 2'!A:A,0))&amp;"")</f>
        <v/>
      </c>
      <c r="I93" s="4">
        <f>IF(OR(H93="",ISNUMBER(SEARCH(" ",H93)),INDEX('Nomes-base'!C:C,MATCH(F93,'Nomes-base'!A:A,0))&lt;&gt;"p"),H93,IF(RIGHT(H93,1)="s",H93,IF(RIGHT(H93,1)="l",LEFT(H93,LEN(H93)-1)&amp;"is",IF(OR(RIGHT(H93,1)="r",RIGHT(H93,1)="z"),H93&amp;"es",IF(RIGHT(H93,1)="m",LEFT(H93,LEN(H93)-1)&amp;"ns",H93&amp;"s")))))</f>
        <v/>
      </c>
    </row>
    <row r="94">
      <c r="A94" s="3">
        <f>IF(OR(G94="",I94=""),"(falta traduzir)",F94&amp;" "&amp;I94&amp;" "&amp;G94)</f>
        <v/>
      </c>
      <c r="B94" t="inlineStr">
        <is>
          <t>怒仙舞</t>
        </is>
      </c>
      <c r="C94" t="inlineStr">
        <is>
          <t>Anger's Immortal Dance</t>
        </is>
      </c>
      <c r="D94" t="n">
        <v>60</v>
      </c>
      <c r="E94" t="n">
        <v>308</v>
      </c>
      <c r="F94" t="inlineStr">
        <is>
          <t>Dança</t>
        </is>
      </c>
      <c r="G94" s="4">
        <f>INDEX('Peça 1'!F:F,MATCH(D94,'Peça 1'!A:A,0))&amp;""</f>
        <v/>
      </c>
      <c r="H94" s="4">
        <f>IF(AND(INDEX('Nomes-base'!B:B,MATCH(F94,'Nomes-base'!A:A,0))="f",INDEX('Peça 2'!G:G,MATCH(E94,'Peça 2'!A:A,0))&amp;""&lt;&gt;""),INDEX('Peça 2'!G:G,MATCH(E94,'Peça 2'!A:A,0))&amp;"",INDEX('Peça 2'!F:F,MATCH(E94,'Peça 2'!A:A,0))&amp;"")</f>
        <v/>
      </c>
      <c r="I94" s="4">
        <f>IF(OR(H94="",ISNUMBER(SEARCH(" ",H94)),INDEX('Nomes-base'!C:C,MATCH(F94,'Nomes-base'!A:A,0))&lt;&gt;"p"),H94,IF(RIGHT(H94,1)="s",H94,IF(RIGHT(H94,1)="l",LEFT(H94,LEN(H94)-1)&amp;"is",IF(OR(RIGHT(H94,1)="r",RIGHT(H94,1)="z"),H94&amp;"es",IF(RIGHT(H94,1)="m",LEFT(H94,LEN(H94)-1)&amp;"ns",H94&amp;"s")))))</f>
        <v/>
      </c>
    </row>
    <row r="95">
      <c r="A95" s="3">
        <f>IF(OR(G95="",I95=""),"(falta traduzir)",F95&amp;" "&amp;I95&amp;" "&amp;G95)</f>
        <v/>
      </c>
      <c r="B95" t="inlineStr">
        <is>
          <t>炽缘冰刺术</t>
        </is>
      </c>
      <c r="C95" t="inlineStr">
        <is>
          <t>Flare's Karmic Icicle</t>
        </is>
      </c>
      <c r="D95" t="n">
        <v>61</v>
      </c>
      <c r="E95" t="n">
        <v>381</v>
      </c>
      <c r="F95" t="inlineStr">
        <is>
          <t>Pingente de Gelo</t>
        </is>
      </c>
      <c r="G95" s="4">
        <f>INDEX('Peça 1'!F:F,MATCH(D95,'Peça 1'!A:A,0))&amp;""</f>
        <v/>
      </c>
      <c r="H95" s="4">
        <f>IF(AND(INDEX('Nomes-base'!B:B,MATCH(F95,'Nomes-base'!A:A,0))="f",INDEX('Peça 2'!G:G,MATCH(E95,'Peça 2'!A:A,0))&amp;""&lt;&gt;""),INDEX('Peça 2'!G:G,MATCH(E95,'Peça 2'!A:A,0))&amp;"",INDEX('Peça 2'!F:F,MATCH(E95,'Peça 2'!A:A,0))&amp;"")</f>
        <v/>
      </c>
      <c r="I95" s="4">
        <f>IF(OR(H95="",ISNUMBER(SEARCH(" ",H95)),INDEX('Nomes-base'!C:C,MATCH(F95,'Nomes-base'!A:A,0))&lt;&gt;"p"),H95,IF(RIGHT(H95,1)="s",H95,IF(RIGHT(H95,1)="l",LEFT(H95,LEN(H95)-1)&amp;"is",IF(OR(RIGHT(H95,1)="r",RIGHT(H95,1)="z"),H95&amp;"es",IF(RIGHT(H95,1)="m",LEFT(H95,LEN(H95)-1)&amp;"ns",H95&amp;"s")))))</f>
        <v/>
      </c>
    </row>
    <row r="96">
      <c r="A96" s="3">
        <f>IF(OR(G96="",I96=""),"(falta traduzir)",F96&amp;" "&amp;I96&amp;" "&amp;G96)</f>
        <v/>
      </c>
      <c r="B96" t="inlineStr">
        <is>
          <t>灵隐秘卷</t>
        </is>
      </c>
      <c r="C96" t="inlineStr">
        <is>
          <t>Aether's Veiled Secret Manual</t>
        </is>
      </c>
      <c r="D96" t="n">
        <v>62</v>
      </c>
      <c r="E96" t="n">
        <v>254</v>
      </c>
      <c r="F96" t="inlineStr">
        <is>
          <t>Manual Secreto</t>
        </is>
      </c>
      <c r="G96" s="4">
        <f>INDEX('Peça 1'!F:F,MATCH(D96,'Peça 1'!A:A,0))&amp;""</f>
        <v/>
      </c>
      <c r="H96" s="4">
        <f>IF(AND(INDEX('Nomes-base'!B:B,MATCH(F96,'Nomes-base'!A:A,0))="f",INDEX('Peça 2'!G:G,MATCH(E96,'Peça 2'!A:A,0))&amp;""&lt;&gt;""),INDEX('Peça 2'!G:G,MATCH(E96,'Peça 2'!A:A,0))&amp;"",INDEX('Peça 2'!F:F,MATCH(E96,'Peça 2'!A:A,0))&amp;"")</f>
        <v/>
      </c>
      <c r="I96" s="4">
        <f>IF(OR(H96="",ISNUMBER(SEARCH(" ",H96)),INDEX('Nomes-base'!C:C,MATCH(F96,'Nomes-base'!A:A,0))&lt;&gt;"p"),H96,IF(RIGHT(H96,1)="s",H96,IF(RIGHT(H96,1)="l",LEFT(H96,LEN(H96)-1)&amp;"is",IF(OR(RIGHT(H96,1)="r",RIGHT(H96,1)="z"),H96&amp;"es",IF(RIGHT(H96,1)="m",LEFT(H96,LEN(H96)-1)&amp;"ns",H96&amp;"s")))))</f>
        <v/>
      </c>
    </row>
    <row r="97">
      <c r="A97" s="3">
        <f>IF(OR(G97="",I97=""),"(falta traduzir)",F97&amp;" "&amp;I97&amp;" "&amp;G97)</f>
        <v/>
      </c>
      <c r="B97" t="inlineStr">
        <is>
          <t>墨来风刃术</t>
        </is>
      </c>
      <c r="C97" t="inlineStr">
        <is>
          <t>Inker's Coming Wind Edge</t>
        </is>
      </c>
      <c r="D97" t="n">
        <v>63</v>
      </c>
      <c r="E97" t="n">
        <v>327</v>
      </c>
      <c r="F97" t="inlineStr">
        <is>
          <t>Gume do Vento</t>
        </is>
      </c>
      <c r="G97" s="4">
        <f>INDEX('Peça 1'!F:F,MATCH(D97,'Peça 1'!A:A,0))&amp;""</f>
        <v/>
      </c>
      <c r="H97" s="4">
        <f>IF(AND(INDEX('Nomes-base'!B:B,MATCH(F97,'Nomes-base'!A:A,0))="f",INDEX('Peça 2'!G:G,MATCH(E97,'Peça 2'!A:A,0))&amp;""&lt;&gt;""),INDEX('Peça 2'!G:G,MATCH(E97,'Peça 2'!A:A,0))&amp;"",INDEX('Peça 2'!F:F,MATCH(E97,'Peça 2'!A:A,0))&amp;"")</f>
        <v/>
      </c>
      <c r="I97" s="4">
        <f>IF(OR(H97="",ISNUMBER(SEARCH(" ",H97)),INDEX('Nomes-base'!C:C,MATCH(F97,'Nomes-base'!A:A,0))&lt;&gt;"p"),H97,IF(RIGHT(H97,1)="s",H97,IF(RIGHT(H97,1)="l",LEFT(H97,LEN(H97)-1)&amp;"is",IF(OR(RIGHT(H97,1)="r",RIGHT(H97,1)="z"),H97&amp;"es",IF(RIGHT(H97,1)="m",LEFT(H97,LEN(H97)-1)&amp;"ns",H97&amp;"s")))))</f>
        <v/>
      </c>
    </row>
    <row r="98">
      <c r="A98" s="3">
        <f>IF(OR(G98="",I98=""),"(falta traduzir)",F98&amp;" "&amp;I98&amp;" "&amp;G98)</f>
        <v/>
      </c>
      <c r="B98" t="inlineStr">
        <is>
          <t>锁秋破体拳</t>
        </is>
      </c>
      <c r="C98" t="inlineStr">
        <is>
          <t>Chainer's Autumnal Shadowy Fist</t>
        </is>
      </c>
      <c r="D98" t="n">
        <v>64</v>
      </c>
      <c r="E98" t="n">
        <v>400</v>
      </c>
      <c r="F98" t="inlineStr">
        <is>
          <t>Punho Sombrio</t>
        </is>
      </c>
      <c r="G98" s="4">
        <f>INDEX('Peça 1'!F:F,MATCH(D98,'Peça 1'!A:A,0))&amp;""</f>
        <v/>
      </c>
      <c r="H98" s="4">
        <f>IF(AND(INDEX('Nomes-base'!B:B,MATCH(F98,'Nomes-base'!A:A,0))="f",INDEX('Peça 2'!G:G,MATCH(E98,'Peça 2'!A:A,0))&amp;""&lt;&gt;""),INDEX('Peça 2'!G:G,MATCH(E98,'Peça 2'!A:A,0))&amp;"",INDEX('Peça 2'!F:F,MATCH(E98,'Peça 2'!A:A,0))&amp;"")</f>
        <v/>
      </c>
      <c r="I98" s="4">
        <f>IF(OR(H98="",ISNUMBER(SEARCH(" ",H98)),INDEX('Nomes-base'!C:C,MATCH(F98,'Nomes-base'!A:A,0))&lt;&gt;"p"),H98,IF(RIGHT(H98,1)="s",H98,IF(RIGHT(H98,1)="l",LEFT(H98,LEN(H98)-1)&amp;"is",IF(OR(RIGHT(H98,1)="r",RIGHT(H98,1)="z"),H98&amp;"es",IF(RIGHT(H98,1)="m",LEFT(H98,LEN(H98)-1)&amp;"ns",H98&amp;"s")))))</f>
        <v/>
      </c>
    </row>
    <row r="99">
      <c r="A99" s="3">
        <f>IF(OR(G99="",I99=""),"(falta traduzir)",F99&amp;" "&amp;I99&amp;" "&amp;G99)</f>
        <v/>
      </c>
      <c r="B99" t="inlineStr">
        <is>
          <t>御瑕闪</t>
        </is>
      </c>
      <c r="C99" t="inlineStr">
        <is>
          <t>Wielder's Flawed Flash</t>
        </is>
      </c>
      <c r="D99" t="n">
        <v>65</v>
      </c>
      <c r="E99" t="n">
        <v>273</v>
      </c>
      <c r="F99" t="inlineStr">
        <is>
          <t>Lampejo</t>
        </is>
      </c>
      <c r="G99" s="4">
        <f>INDEX('Peça 1'!F:F,MATCH(D99,'Peça 1'!A:A,0))&amp;""</f>
        <v/>
      </c>
      <c r="H99" s="4">
        <f>IF(AND(INDEX('Nomes-base'!B:B,MATCH(F99,'Nomes-base'!A:A,0))="f",INDEX('Peça 2'!G:G,MATCH(E99,'Peça 2'!A:A,0))&amp;""&lt;&gt;""),INDEX('Peça 2'!G:G,MATCH(E99,'Peça 2'!A:A,0))&amp;"",INDEX('Peça 2'!F:F,MATCH(E99,'Peça 2'!A:A,0))&amp;"")</f>
        <v/>
      </c>
      <c r="I99" s="4">
        <f>IF(OR(H99="",ISNUMBER(SEARCH(" ",H99)),INDEX('Nomes-base'!C:C,MATCH(F99,'Nomes-base'!A:A,0))&lt;&gt;"p"),H99,IF(RIGHT(H99,1)="s",H99,IF(RIGHT(H99,1)="l",LEFT(H99,LEN(H99)-1)&amp;"is",IF(OR(RIGHT(H99,1)="r",RIGHT(H99,1)="z"),H99&amp;"es",IF(RIGHT(H99,1)="m",LEFT(H99,LEN(H99)-1)&amp;"ns",H99&amp;"s")))))</f>
        <v/>
      </c>
    </row>
    <row r="100">
      <c r="A100" s="3">
        <f>IF(OR(G100="",I100=""),"(falta traduzir)",F100&amp;" "&amp;I100&amp;" "&amp;G100)</f>
        <v/>
      </c>
      <c r="B100" t="inlineStr">
        <is>
          <t>虚屠步</t>
        </is>
      </c>
      <c r="C100" t="inlineStr">
        <is>
          <t>Deserter's Killing Step</t>
        </is>
      </c>
      <c r="D100" t="n">
        <v>66</v>
      </c>
      <c r="E100" t="n">
        <v>346</v>
      </c>
      <c r="F100" t="inlineStr">
        <is>
          <t>Passo</t>
        </is>
      </c>
      <c r="G100" s="4">
        <f>INDEX('Peça 1'!F:F,MATCH(D100,'Peça 1'!A:A,0))&amp;""</f>
        <v/>
      </c>
      <c r="H100" s="4">
        <f>IF(AND(INDEX('Nomes-base'!B:B,MATCH(F100,'Nomes-base'!A:A,0))="f",INDEX('Peça 2'!G:G,MATCH(E100,'Peça 2'!A:A,0))&amp;""&lt;&gt;""),INDEX('Peça 2'!G:G,MATCH(E100,'Peça 2'!A:A,0))&amp;"",INDEX('Peça 2'!F:F,MATCH(E100,'Peça 2'!A:A,0))&amp;"")</f>
        <v/>
      </c>
      <c r="I100" s="4">
        <f>IF(OR(H100="",ISNUMBER(SEARCH(" ",H100)),INDEX('Nomes-base'!C:C,MATCH(F100,'Nomes-base'!A:A,0))&lt;&gt;"p"),H100,IF(RIGHT(H100,1)="s",H100,IF(RIGHT(H100,1)="l",LEFT(H100,LEN(H100)-1)&amp;"is",IF(OR(RIGHT(H100,1)="r",RIGHT(H100,1)="z"),H100&amp;"es",IF(RIGHT(H100,1)="m",LEFT(H100,LEN(H100)-1)&amp;"ns",H100&amp;"s")))))</f>
        <v/>
      </c>
    </row>
    <row r="101">
      <c r="A101" s="3">
        <f>IF(OR(G101="",I101=""),"(falta traduzir)",F101&amp;" "&amp;I101&amp;" "&amp;G101)</f>
        <v/>
      </c>
      <c r="B101" t="inlineStr">
        <is>
          <t>暗影式</t>
        </is>
      </c>
      <c r="C101" t="inlineStr">
        <is>
          <t>Doom's Shadowy Technique</t>
        </is>
      </c>
      <c r="D101" t="n">
        <v>67</v>
      </c>
      <c r="E101" t="n">
        <v>219</v>
      </c>
      <c r="F101" t="inlineStr">
        <is>
          <t>Técnica</t>
        </is>
      </c>
      <c r="G101" s="4">
        <f>INDEX('Peça 1'!F:F,MATCH(D101,'Peça 1'!A:A,0))&amp;""</f>
        <v/>
      </c>
      <c r="H101" s="4">
        <f>IF(AND(INDEX('Nomes-base'!B:B,MATCH(F101,'Nomes-base'!A:A,0))="f",INDEX('Peça 2'!G:G,MATCH(E101,'Peça 2'!A:A,0))&amp;""&lt;&gt;""),INDEX('Peça 2'!G:G,MATCH(E101,'Peça 2'!A:A,0))&amp;"",INDEX('Peça 2'!F:F,MATCH(E101,'Peça 2'!A:A,0))&amp;"")</f>
        <v/>
      </c>
      <c r="I101" s="4">
        <f>IF(OR(H101="",ISNUMBER(SEARCH(" ",H101)),INDEX('Nomes-base'!C:C,MATCH(F101,'Nomes-base'!A:A,0))&lt;&gt;"p"),H101,IF(RIGHT(H101,1)="s",H101,IF(RIGHT(H101,1)="l",LEFT(H101,LEN(H101)-1)&amp;"is",IF(OR(RIGHT(H101,1)="r",RIGHT(H101,1)="z"),H101&amp;"es",IF(RIGHT(H101,1)="m",LEFT(H101,LEN(H101)-1)&amp;"ns",H101&amp;"s")))))</f>
        <v/>
      </c>
    </row>
    <row r="102">
      <c r="A102" s="3">
        <f>IF(OR(G102="",I102=""),"(falta traduzir)",F102&amp;" "&amp;I102&amp;" "&amp;G102)</f>
        <v/>
      </c>
      <c r="B102" t="inlineStr">
        <is>
          <t>邪幽旋风刀</t>
        </is>
      </c>
      <c r="C102" t="inlineStr">
        <is>
          <t>Evil's Gloomy Whirlwind Blade</t>
        </is>
      </c>
      <c r="D102" t="n">
        <v>68</v>
      </c>
      <c r="E102" t="n">
        <v>292</v>
      </c>
      <c r="F102" t="inlineStr">
        <is>
          <t>Lâmina do Redemoinho</t>
        </is>
      </c>
      <c r="G102" s="4">
        <f>INDEX('Peça 1'!F:F,MATCH(D102,'Peça 1'!A:A,0))&amp;""</f>
        <v/>
      </c>
      <c r="H102" s="4">
        <f>IF(AND(INDEX('Nomes-base'!B:B,MATCH(F102,'Nomes-base'!A:A,0))="f",INDEX('Peça 2'!G:G,MATCH(E102,'Peça 2'!A:A,0))&amp;""&lt;&gt;""),INDEX('Peça 2'!G:G,MATCH(E102,'Peça 2'!A:A,0))&amp;"",INDEX('Peça 2'!F:F,MATCH(E102,'Peça 2'!A:A,0))&amp;"")</f>
        <v/>
      </c>
      <c r="I102" s="4">
        <f>IF(OR(H102="",ISNUMBER(SEARCH(" ",H102)),INDEX('Nomes-base'!C:C,MATCH(F102,'Nomes-base'!A:A,0))&lt;&gt;"p"),H102,IF(RIGHT(H102,1)="s",H102,IF(RIGHT(H102,1)="l",LEFT(H102,LEN(H102)-1)&amp;"is",IF(OR(RIGHT(H102,1)="r",RIGHT(H102,1)="z"),H102&amp;"es",IF(RIGHT(H102,1)="m",LEFT(H102,LEN(H102)-1)&amp;"ns",H102&amp;"s")))))</f>
        <v/>
      </c>
    </row>
    <row r="103">
      <c r="A103" s="3">
        <f>IF(OR(G103="",I103=""),"(falta traduzir)",F103&amp;" "&amp;I103&amp;" "&amp;G103)</f>
        <v/>
      </c>
      <c r="B103" t="inlineStr">
        <is>
          <t>荒瑶落雷阵</t>
        </is>
      </c>
      <c r="C103" t="inlineStr">
        <is>
          <t>Waste's Nacreous Lightning Crash</t>
        </is>
      </c>
      <c r="D103" t="n">
        <v>69</v>
      </c>
      <c r="E103" t="n">
        <v>365</v>
      </c>
      <c r="F103" t="inlineStr">
        <is>
          <t>Colapso do Relâmpago</t>
        </is>
      </c>
      <c r="G103" s="4">
        <f>INDEX('Peça 1'!F:F,MATCH(D103,'Peça 1'!A:A,0))&amp;""</f>
        <v/>
      </c>
      <c r="H103" s="4">
        <f>IF(AND(INDEX('Nomes-base'!B:B,MATCH(F103,'Nomes-base'!A:A,0))="f",INDEX('Peça 2'!G:G,MATCH(E103,'Peça 2'!A:A,0))&amp;""&lt;&gt;""),INDEX('Peça 2'!G:G,MATCH(E103,'Peça 2'!A:A,0))&amp;"",INDEX('Peça 2'!F:F,MATCH(E103,'Peça 2'!A:A,0))&amp;"")</f>
        <v/>
      </c>
      <c r="I103" s="4">
        <f>IF(OR(H103="",ISNUMBER(SEARCH(" ",H103)),INDEX('Nomes-base'!C:C,MATCH(F103,'Nomes-base'!A:A,0))&lt;&gt;"p"),H103,IF(RIGHT(H103,1)="s",H103,IF(RIGHT(H103,1)="l",LEFT(H103,LEN(H103)-1)&amp;"is",IF(OR(RIGHT(H103,1)="r",RIGHT(H103,1)="z"),H103&amp;"es",IF(RIGHT(H103,1)="m",LEFT(H103,LEN(H103)-1)&amp;"ns",H103&amp;"s")))))</f>
        <v/>
      </c>
    </row>
    <row r="104">
      <c r="A104" s="3">
        <f>IF(OR(G104="",I104=""),"(falta traduzir)",F104&amp;" "&amp;I104&amp;" "&amp;G104)</f>
        <v/>
      </c>
      <c r="B104" t="inlineStr">
        <is>
          <t>蚀邪大法</t>
        </is>
      </c>
      <c r="C104" t="inlineStr">
        <is>
          <t>Gnawer's Evil Mastery</t>
        </is>
      </c>
      <c r="D104" t="n">
        <v>70</v>
      </c>
      <c r="E104" t="n">
        <v>238</v>
      </c>
      <c r="F104" t="inlineStr">
        <is>
          <t>Mestria</t>
        </is>
      </c>
      <c r="G104" s="4">
        <f>INDEX('Peça 1'!F:F,MATCH(D104,'Peça 1'!A:A,0))&amp;""</f>
        <v/>
      </c>
      <c r="H104" s="4">
        <f>IF(AND(INDEX('Nomes-base'!B:B,MATCH(F104,'Nomes-base'!A:A,0))="f",INDEX('Peça 2'!G:G,MATCH(E104,'Peça 2'!A:A,0))&amp;""&lt;&gt;""),INDEX('Peça 2'!G:G,MATCH(E104,'Peça 2'!A:A,0))&amp;"",INDEX('Peça 2'!F:F,MATCH(E104,'Peça 2'!A:A,0))&amp;"")</f>
        <v/>
      </c>
      <c r="I104" s="4">
        <f>IF(OR(H104="",ISNUMBER(SEARCH(" ",H104)),INDEX('Nomes-base'!C:C,MATCH(F104,'Nomes-base'!A:A,0))&lt;&gt;"p"),H104,IF(RIGHT(H104,1)="s",H104,IF(RIGHT(H104,1)="l",LEFT(H104,LEN(H104)-1)&amp;"is",IF(OR(RIGHT(H104,1)="r",RIGHT(H104,1)="z"),H104&amp;"es",IF(RIGHT(H104,1)="m",LEFT(H104,LEN(H104)-1)&amp;"ns",H104&amp;"s")))))</f>
        <v/>
      </c>
    </row>
    <row r="105">
      <c r="A105" s="3">
        <f>IF(OR(G105="",I105=""),"(falta traduzir)",F105&amp;" "&amp;I105&amp;" "&amp;G105)</f>
        <v/>
      </c>
      <c r="B105" t="inlineStr">
        <is>
          <t>寂刚突</t>
        </is>
      </c>
      <c r="C105" t="inlineStr">
        <is>
          <t>Silence's Ironic Dash</t>
        </is>
      </c>
      <c r="D105" t="n">
        <v>71</v>
      </c>
      <c r="E105" t="n">
        <v>311</v>
      </c>
      <c r="F105" t="inlineStr">
        <is>
          <t>Arrancada</t>
        </is>
      </c>
      <c r="G105" s="4">
        <f>INDEX('Peça 1'!F:F,MATCH(D105,'Peça 1'!A:A,0))&amp;""</f>
        <v/>
      </c>
      <c r="H105" s="4">
        <f>IF(AND(INDEX('Nomes-base'!B:B,MATCH(F105,'Nomes-base'!A:A,0))="f",INDEX('Peça 2'!G:G,MATCH(E105,'Peça 2'!A:A,0))&amp;""&lt;&gt;""),INDEX('Peça 2'!G:G,MATCH(E105,'Peça 2'!A:A,0))&amp;"",INDEX('Peça 2'!F:F,MATCH(E105,'Peça 2'!A:A,0))&amp;"")</f>
        <v/>
      </c>
      <c r="I105" s="4">
        <f>IF(OR(H105="",ISNUMBER(SEARCH(" ",H105)),INDEX('Nomes-base'!C:C,MATCH(F105,'Nomes-base'!A:A,0))&lt;&gt;"p"),H105,IF(RIGHT(H105,1)="s",H105,IF(RIGHT(H105,1)="l",LEFT(H105,LEN(H105)-1)&amp;"is",IF(OR(RIGHT(H105,1)="r",RIGHT(H105,1)="z"),H105&amp;"es",IF(RIGHT(H105,1)="m",LEFT(H105,LEN(H105)-1)&amp;"ns",H105&amp;"s")))))</f>
        <v/>
      </c>
    </row>
    <row r="106">
      <c r="A106" s="3">
        <f>IF(OR(G106="",I106=""),"(falta traduzir)",F106&amp;" "&amp;I106&amp;" "&amp;G106)</f>
        <v/>
      </c>
      <c r="B106" t="inlineStr">
        <is>
          <t>爆蕴冰天眼</t>
        </is>
      </c>
      <c r="C106" t="inlineStr">
        <is>
          <t>Burster's Heaped Heavenly Icy Eye</t>
        </is>
      </c>
      <c r="D106" t="n">
        <v>72</v>
      </c>
      <c r="E106" t="n">
        <v>384</v>
      </c>
      <c r="F106" t="inlineStr">
        <is>
          <t>Olhar Gélido Celestial</t>
        </is>
      </c>
      <c r="G106" s="4">
        <f>INDEX('Peça 1'!F:F,MATCH(D106,'Peça 1'!A:A,0))&amp;""</f>
        <v/>
      </c>
      <c r="H106" s="4">
        <f>IF(AND(INDEX('Nomes-base'!B:B,MATCH(F106,'Nomes-base'!A:A,0))="f",INDEX('Peça 2'!G:G,MATCH(E106,'Peça 2'!A:A,0))&amp;""&lt;&gt;""),INDEX('Peça 2'!G:G,MATCH(E106,'Peça 2'!A:A,0))&amp;"",INDEX('Peça 2'!F:F,MATCH(E106,'Peça 2'!A:A,0))&amp;"")</f>
        <v/>
      </c>
      <c r="I106" s="4">
        <f>IF(OR(H106="",ISNUMBER(SEARCH(" ",H106)),INDEX('Nomes-base'!C:C,MATCH(F106,'Nomes-base'!A:A,0))&lt;&gt;"p"),H106,IF(RIGHT(H106,1)="s",H106,IF(RIGHT(H106,1)="l",LEFT(H106,LEN(H106)-1)&amp;"is",IF(OR(RIGHT(H106,1)="r",RIGHT(H106,1)="z"),H106&amp;"es",IF(RIGHT(H106,1)="m",LEFT(H106,LEN(H106)-1)&amp;"ns",H106&amp;"s")))))</f>
        <v/>
      </c>
    </row>
    <row r="107">
      <c r="A107" s="3">
        <f>IF(OR(G107="",I107=""),"(falta traduzir)",F107&amp;" "&amp;I107&amp;" "&amp;G107)</f>
        <v/>
      </c>
      <c r="B107" t="inlineStr">
        <is>
          <t>裂溟隐</t>
        </is>
      </c>
      <c r="C107" t="inlineStr">
        <is>
          <t>Tearer's Deep Stealth</t>
        </is>
      </c>
      <c r="D107" t="n">
        <v>73</v>
      </c>
      <c r="E107" t="n">
        <v>257</v>
      </c>
      <c r="F107" t="inlineStr">
        <is>
          <t>Furtividade</t>
        </is>
      </c>
      <c r="G107" s="4">
        <f>INDEX('Peça 1'!F:F,MATCH(D107,'Peça 1'!A:A,0))&amp;""</f>
        <v/>
      </c>
      <c r="H107" s="4">
        <f>IF(AND(INDEX('Nomes-base'!B:B,MATCH(F107,'Nomes-base'!A:A,0))="f",INDEX('Peça 2'!G:G,MATCH(E107,'Peça 2'!A:A,0))&amp;""&lt;&gt;""),INDEX('Peça 2'!G:G,MATCH(E107,'Peça 2'!A:A,0))&amp;"",INDEX('Peça 2'!F:F,MATCH(E107,'Peça 2'!A:A,0))&amp;"")</f>
        <v/>
      </c>
      <c r="I107" s="4">
        <f>IF(OR(H107="",ISNUMBER(SEARCH(" ",H107)),INDEX('Nomes-base'!C:C,MATCH(F107,'Nomes-base'!A:A,0))&lt;&gt;"p"),H107,IF(RIGHT(H107,1)="s",H107,IF(RIGHT(H107,1)="l",LEFT(H107,LEN(H107)-1)&amp;"is",IF(OR(RIGHT(H107,1)="r",RIGHT(H107,1)="z"),H107&amp;"es",IF(RIGHT(H107,1)="m",LEFT(H107,LEN(H107)-1)&amp;"ns",H107&amp;"s")))))</f>
        <v/>
      </c>
    </row>
    <row r="108">
      <c r="A108" s="3">
        <f>IF(OR(G108="",I108=""),"(falta traduzir)",F108&amp;" "&amp;I108&amp;" "&amp;G108)</f>
        <v/>
      </c>
      <c r="B108" t="inlineStr">
        <is>
          <t>劫仪惊虹掌</t>
        </is>
      </c>
      <c r="C108" t="inlineStr">
        <is>
          <t>Suffering's Ritual Rainbow Palm</t>
        </is>
      </c>
      <c r="D108" t="n">
        <v>74</v>
      </c>
      <c r="E108" t="n">
        <v>330</v>
      </c>
      <c r="F108" t="inlineStr">
        <is>
          <t>Palma Arco-Íris</t>
        </is>
      </c>
      <c r="G108" s="4">
        <f>INDEX('Peça 1'!F:F,MATCH(D108,'Peça 1'!A:A,0))&amp;""</f>
        <v/>
      </c>
      <c r="H108" s="4">
        <f>IF(AND(INDEX('Nomes-base'!B:B,MATCH(F108,'Nomes-base'!A:A,0))="f",INDEX('Peça 2'!G:G,MATCH(E108,'Peça 2'!A:A,0))&amp;""&lt;&gt;""),INDEX('Peça 2'!G:G,MATCH(E108,'Peça 2'!A:A,0))&amp;"",INDEX('Peça 2'!F:F,MATCH(E108,'Peça 2'!A:A,0))&amp;"")</f>
        <v/>
      </c>
      <c r="I108" s="4">
        <f>IF(OR(H108="",ISNUMBER(SEARCH(" ",H108)),INDEX('Nomes-base'!C:C,MATCH(F108,'Nomes-base'!A:A,0))&lt;&gt;"p"),H108,IF(RIGHT(H108,1)="s",H108,IF(RIGHT(H108,1)="l",LEFT(H108,LEN(H108)-1)&amp;"is",IF(OR(RIGHT(H108,1)="r",RIGHT(H108,1)="z"),H108&amp;"es",IF(RIGHT(H108,1)="m",LEFT(H108,LEN(H108)-1)&amp;"ns",H108&amp;"s")))))</f>
        <v/>
      </c>
    </row>
    <row r="109">
      <c r="A109" s="3">
        <f>IF(OR(G109="",I109=""),"(falta traduzir)",F109&amp;" "&amp;I109&amp;" "&amp;G109)</f>
        <v/>
      </c>
      <c r="B109" t="inlineStr">
        <is>
          <t>贯雨裂地拳</t>
        </is>
      </c>
      <c r="C109" t="inlineStr">
        <is>
          <t>Piercer's Drowned Seismic Fist</t>
        </is>
      </c>
      <c r="D109" t="n">
        <v>75</v>
      </c>
      <c r="E109" t="n">
        <v>203</v>
      </c>
      <c r="F109" t="inlineStr">
        <is>
          <t>Punho Sísmico</t>
        </is>
      </c>
      <c r="G109" s="4">
        <f>INDEX('Peça 1'!F:F,MATCH(D109,'Peça 1'!A:A,0))&amp;""</f>
        <v/>
      </c>
      <c r="H109" s="4">
        <f>IF(AND(INDEX('Nomes-base'!B:B,MATCH(F109,'Nomes-base'!A:A,0))="f",INDEX('Peça 2'!G:G,MATCH(E109,'Peça 2'!A:A,0))&amp;""&lt;&gt;""),INDEX('Peça 2'!G:G,MATCH(E109,'Peça 2'!A:A,0))&amp;"",INDEX('Peça 2'!F:F,MATCH(E109,'Peça 2'!A:A,0))&amp;"")</f>
        <v/>
      </c>
      <c r="I109" s="4">
        <f>IF(OR(H109="",ISNUMBER(SEARCH(" ",H109)),INDEX('Nomes-base'!C:C,MATCH(F109,'Nomes-base'!A:A,0))&lt;&gt;"p"),H109,IF(RIGHT(H109,1)="s",H109,IF(RIGHT(H109,1)="l",LEFT(H109,LEN(H109)-1)&amp;"is",IF(OR(RIGHT(H109,1)="r",RIGHT(H109,1)="z"),H109&amp;"es",IF(RIGHT(H109,1)="m",LEFT(H109,LEN(H109)-1)&amp;"ns",H109&amp;"s")))))</f>
        <v/>
      </c>
    </row>
    <row r="110">
      <c r="A110" s="3">
        <f>IF(OR(G110="",I110=""),"(falta traduzir)",F110&amp;" "&amp;I110&amp;" "&amp;G110)</f>
        <v/>
      </c>
      <c r="B110" t="inlineStr">
        <is>
          <t>震沧卷</t>
        </is>
      </c>
      <c r="C110" t="inlineStr">
        <is>
          <t>Tremor's Blue Tornado</t>
        </is>
      </c>
      <c r="D110" t="n">
        <v>76</v>
      </c>
      <c r="E110" t="n">
        <v>276</v>
      </c>
      <c r="F110" t="inlineStr">
        <is>
          <t>Tornado</t>
        </is>
      </c>
      <c r="G110" s="4">
        <f>INDEX('Peça 1'!F:F,MATCH(D110,'Peça 1'!A:A,0))&amp;""</f>
        <v/>
      </c>
      <c r="H110" s="4">
        <f>IF(AND(INDEX('Nomes-base'!B:B,MATCH(F110,'Nomes-base'!A:A,0))="f",INDEX('Peça 2'!G:G,MATCH(E110,'Peça 2'!A:A,0))&amp;""&lt;&gt;""),INDEX('Peça 2'!G:G,MATCH(E110,'Peça 2'!A:A,0))&amp;"",INDEX('Peça 2'!F:F,MATCH(E110,'Peça 2'!A:A,0))&amp;"")</f>
        <v/>
      </c>
      <c r="I110" s="4">
        <f>IF(OR(H110="",ISNUMBER(SEARCH(" ",H110)),INDEX('Nomes-base'!C:C,MATCH(F110,'Nomes-base'!A:A,0))&lt;&gt;"p"),H110,IF(RIGHT(H110,1)="s",H110,IF(RIGHT(H110,1)="l",LEFT(H110,LEN(H110)-1)&amp;"is",IF(OR(RIGHT(H110,1)="r",RIGHT(H110,1)="z"),H110&amp;"es",IF(RIGHT(H110,1)="m",LEFT(H110,LEN(H110)-1)&amp;"ns",H110&amp;"s")))))</f>
        <v/>
      </c>
    </row>
    <row r="111">
      <c r="A111" s="3">
        <f>IF(OR(G111="",I111=""),"(falta traduzir)",F111&amp;" "&amp;I111&amp;" "&amp;G111)</f>
        <v/>
      </c>
      <c r="B111" t="inlineStr">
        <is>
          <t>玄剑水灵术</t>
        </is>
      </c>
      <c r="C111" t="inlineStr">
        <is>
          <t>Mystic's Cutting Spiritual Water</t>
        </is>
      </c>
      <c r="D111" t="n">
        <v>77</v>
      </c>
      <c r="E111" t="n">
        <v>349</v>
      </c>
      <c r="F111" t="inlineStr">
        <is>
          <t>Água Espiritual</t>
        </is>
      </c>
      <c r="G111" s="4">
        <f>INDEX('Peça 1'!F:F,MATCH(D111,'Peça 1'!A:A,0))&amp;""</f>
        <v/>
      </c>
      <c r="H111" s="4">
        <f>IF(AND(INDEX('Nomes-base'!B:B,MATCH(F111,'Nomes-base'!A:A,0))="f",INDEX('Peça 2'!G:G,MATCH(E111,'Peça 2'!A:A,0))&amp;""&lt;&gt;""),INDEX('Peça 2'!G:G,MATCH(E111,'Peça 2'!A:A,0))&amp;"",INDEX('Peça 2'!F:F,MATCH(E111,'Peça 2'!A:A,0))&amp;"")</f>
        <v/>
      </c>
      <c r="I111" s="4">
        <f>IF(OR(H111="",ISNUMBER(SEARCH(" ",H111)),INDEX('Nomes-base'!C:C,MATCH(F111,'Nomes-base'!A:A,0))&lt;&gt;"p"),H111,IF(RIGHT(H111,1)="s",H111,IF(RIGHT(H111,1)="l",LEFT(H111,LEN(H111)-1)&amp;"is",IF(OR(RIGHT(H111,1)="r",RIGHT(H111,1)="z"),H111&amp;"es",IF(RIGHT(H111,1)="m",LEFT(H111,LEN(H111)-1)&amp;"ns",H111&amp;"s")))))</f>
        <v/>
      </c>
    </row>
    <row r="112">
      <c r="A112" s="3">
        <f>IF(OR(G112="",I112=""),"(falta traduzir)",F112&amp;" "&amp;I112&amp;" "&amp;G112)</f>
        <v/>
      </c>
      <c r="B112" t="inlineStr">
        <is>
          <t>碧阳诀</t>
        </is>
      </c>
      <c r="C112" t="inlineStr">
        <is>
          <t>Jade's Sunlit Guide</t>
        </is>
      </c>
      <c r="D112" t="n">
        <v>78</v>
      </c>
      <c r="E112" t="n">
        <v>222</v>
      </c>
      <c r="F112" t="inlineStr">
        <is>
          <t>Guia</t>
        </is>
      </c>
      <c r="G112" s="4">
        <f>INDEX('Peça 1'!F:F,MATCH(D112,'Peça 1'!A:A,0))&amp;""</f>
        <v/>
      </c>
      <c r="H112" s="4">
        <f>IF(AND(INDEX('Nomes-base'!B:B,MATCH(F112,'Nomes-base'!A:A,0))="f",INDEX('Peça 2'!G:G,MATCH(E112,'Peça 2'!A:A,0))&amp;""&lt;&gt;""),INDEX('Peça 2'!G:G,MATCH(E112,'Peça 2'!A:A,0))&amp;"",INDEX('Peça 2'!F:F,MATCH(E112,'Peça 2'!A:A,0))&amp;"")</f>
        <v/>
      </c>
      <c r="I112" s="4">
        <f>IF(OR(H112="",ISNUMBER(SEARCH(" ",H112)),INDEX('Nomes-base'!C:C,MATCH(F112,'Nomes-base'!A:A,0))&lt;&gt;"p"),H112,IF(RIGHT(H112,1)="s",H112,IF(RIGHT(H112,1)="l",LEFT(H112,LEN(H112)-1)&amp;"is",IF(OR(RIGHT(H112,1)="r",RIGHT(H112,1)="z"),H112&amp;"es",IF(RIGHT(H112,1)="m",LEFT(H112,LEN(H112)-1)&amp;"ns",H112&amp;"s")))))</f>
        <v/>
      </c>
    </row>
    <row r="113">
      <c r="A113" s="3">
        <f>IF(OR(G113="",I113=""),"(falta traduzir)",F113&amp;" "&amp;I113&amp;" "&amp;G113)</f>
        <v/>
      </c>
      <c r="B113" t="inlineStr">
        <is>
          <t>紫谷落石术</t>
        </is>
      </c>
      <c r="C113" t="inlineStr">
        <is>
          <t>Violet's Valley Falling Rock</t>
        </is>
      </c>
      <c r="D113" t="n">
        <v>79</v>
      </c>
      <c r="E113" t="n">
        <v>295</v>
      </c>
      <c r="F113" t="inlineStr">
        <is>
          <t>Queda de Rochas</t>
        </is>
      </c>
      <c r="G113" s="4">
        <f>INDEX('Peça 1'!F:F,MATCH(D113,'Peça 1'!A:A,0))&amp;""</f>
        <v/>
      </c>
      <c r="H113" s="4">
        <f>IF(AND(INDEX('Nomes-base'!B:B,MATCH(F113,'Nomes-base'!A:A,0))="f",INDEX('Peça 2'!G:G,MATCH(E113,'Peça 2'!A:A,0))&amp;""&lt;&gt;""),INDEX('Peça 2'!G:G,MATCH(E113,'Peça 2'!A:A,0))&amp;"",INDEX('Peça 2'!F:F,MATCH(E113,'Peça 2'!A:A,0))&amp;"")</f>
        <v/>
      </c>
      <c r="I113" s="4">
        <f>IF(OR(H113="",ISNUMBER(SEARCH(" ",H113)),INDEX('Nomes-base'!C:C,MATCH(F113,'Nomes-base'!A:A,0))&lt;&gt;"p"),H113,IF(RIGHT(H113,1)="s",H113,IF(RIGHT(H113,1)="l",LEFT(H113,LEN(H113)-1)&amp;"is",IF(OR(RIGHT(H113,1)="r",RIGHT(H113,1)="z"),H113&amp;"es",IF(RIGHT(H113,1)="m",LEFT(H113,LEN(H113)-1)&amp;"ns",H113&amp;"s")))))</f>
        <v/>
      </c>
    </row>
    <row r="114">
      <c r="A114" s="3">
        <f>IF(OR(G114="",I114=""),"(falta traduzir)",F114&amp;" "&amp;I114&amp;" "&amp;G114)</f>
        <v/>
      </c>
      <c r="B114" t="inlineStr">
        <is>
          <t>煞湘疾龙破</t>
        </is>
      </c>
      <c r="C114" t="inlineStr">
        <is>
          <t>Miasma's Liquid Sprinting Dragon Rising</t>
        </is>
      </c>
      <c r="D114" t="n">
        <v>80</v>
      </c>
      <c r="E114" t="n">
        <v>368</v>
      </c>
      <c r="F114" t="inlineStr">
        <is>
          <t>Ascensão do Dragão Veloz</t>
        </is>
      </c>
      <c r="G114" s="4">
        <f>INDEX('Peça 1'!F:F,MATCH(D114,'Peça 1'!A:A,0))&amp;""</f>
        <v/>
      </c>
      <c r="H114" s="4">
        <f>IF(AND(INDEX('Nomes-base'!B:B,MATCH(F114,'Nomes-base'!A:A,0))="f",INDEX('Peça 2'!G:G,MATCH(E114,'Peça 2'!A:A,0))&amp;""&lt;&gt;""),INDEX('Peça 2'!G:G,MATCH(E114,'Peça 2'!A:A,0))&amp;"",INDEX('Peça 2'!F:F,MATCH(E114,'Peça 2'!A:A,0))&amp;"")</f>
        <v/>
      </c>
      <c r="I114" s="4">
        <f>IF(OR(H114="",ISNUMBER(SEARCH(" ",H114)),INDEX('Nomes-base'!C:C,MATCH(F114,'Nomes-base'!A:A,0))&lt;&gt;"p"),H114,IF(RIGHT(H114,1)="s",H114,IF(RIGHT(H114,1)="l",LEFT(H114,LEN(H114)-1)&amp;"is",IF(OR(RIGHT(H114,1)="r",RIGHT(H114,1)="z"),H114&amp;"es",IF(RIGHT(H114,1)="m",LEFT(H114,LEN(H114)-1)&amp;"ns",H114&amp;"s")))))</f>
        <v/>
      </c>
    </row>
    <row r="115">
      <c r="A115" s="3">
        <f>IF(OR(G115="",I115=""),"(falta traduzir)",F115&amp;" "&amp;I115&amp;" "&amp;G115)</f>
        <v/>
      </c>
      <c r="B115" t="inlineStr">
        <is>
          <t>逐雷跃</t>
        </is>
      </c>
      <c r="C115" t="inlineStr">
        <is>
          <t>Expeller's Thundrous Leap</t>
        </is>
      </c>
      <c r="D115" t="n">
        <v>81</v>
      </c>
      <c r="E115" t="n">
        <v>241</v>
      </c>
      <c r="F115" t="inlineStr">
        <is>
          <t>Salto</t>
        </is>
      </c>
      <c r="G115" s="4">
        <f>INDEX('Peça 1'!F:F,MATCH(D115,'Peça 1'!A:A,0))&amp;""</f>
        <v/>
      </c>
      <c r="H115" s="4">
        <f>IF(AND(INDEX('Nomes-base'!B:B,MATCH(F115,'Nomes-base'!A:A,0))="f",INDEX('Peça 2'!G:G,MATCH(E115,'Peça 2'!A:A,0))&amp;""&lt;&gt;""),INDEX('Peça 2'!G:G,MATCH(E115,'Peça 2'!A:A,0))&amp;"",INDEX('Peça 2'!F:F,MATCH(E115,'Peça 2'!A:A,0))&amp;"")</f>
        <v/>
      </c>
      <c r="I115" s="4">
        <f>IF(OR(H115="",ISNUMBER(SEARCH(" ",H115)),INDEX('Nomes-base'!C:C,MATCH(F115,'Nomes-base'!A:A,0))&lt;&gt;"p"),H115,IF(RIGHT(H115,1)="s",H115,IF(RIGHT(H115,1)="l",LEFT(H115,LEN(H115)-1)&amp;"is",IF(OR(RIGHT(H115,1)="r",RIGHT(H115,1)="z"),H115&amp;"es",IF(RIGHT(H115,1)="m",LEFT(H115,LEN(H115)-1)&amp;"ns",H115&amp;"s")))))</f>
        <v/>
      </c>
    </row>
    <row r="116">
      <c r="A116" s="3">
        <f>IF(OR(G116="",I116=""),"(falta traduzir)",F116&amp;" "&amp;I116&amp;" "&amp;G116)</f>
        <v/>
      </c>
      <c r="B116" t="inlineStr">
        <is>
          <t>极地御术</t>
        </is>
      </c>
      <c r="C116" t="inlineStr">
        <is>
          <t>King's Earthly Drift</t>
        </is>
      </c>
      <c r="D116" t="n">
        <v>82</v>
      </c>
      <c r="E116" t="n">
        <v>314</v>
      </c>
      <c r="F116" t="inlineStr">
        <is>
          <t>Deriva</t>
        </is>
      </c>
      <c r="G116" s="4">
        <f>INDEX('Peça 1'!F:F,MATCH(D116,'Peça 1'!A:A,0))&amp;""</f>
        <v/>
      </c>
      <c r="H116" s="4">
        <f>IF(AND(INDEX('Nomes-base'!B:B,MATCH(F116,'Nomes-base'!A:A,0))="f",INDEX('Peça 2'!G:G,MATCH(E116,'Peça 2'!A:A,0))&amp;""&lt;&gt;""),INDEX('Peça 2'!G:G,MATCH(E116,'Peça 2'!A:A,0))&amp;"",INDEX('Peça 2'!F:F,MATCH(E116,'Peça 2'!A:A,0))&amp;"")</f>
        <v/>
      </c>
      <c r="I116" s="4">
        <f>IF(OR(H116="",ISNUMBER(SEARCH(" ",H116)),INDEX('Nomes-base'!C:C,MATCH(F116,'Nomes-base'!A:A,0))&lt;&gt;"p"),H116,IF(RIGHT(H116,1)="s",H116,IF(RIGHT(H116,1)="l",LEFT(H116,LEN(H116)-1)&amp;"is",IF(OR(RIGHT(H116,1)="r",RIGHT(H116,1)="z"),H116&amp;"es",IF(RIGHT(H116,1)="m",LEFT(H116,LEN(H116)-1)&amp;"ns",H116&amp;"s")))))</f>
        <v/>
      </c>
    </row>
    <row r="117">
      <c r="A117" s="3">
        <f>IF(OR(G117="",I117=""),"(falta traduzir)",F117&amp;" "&amp;I117&amp;" "&amp;G117)</f>
        <v/>
      </c>
      <c r="B117" t="inlineStr">
        <is>
          <t>沧纹经</t>
        </is>
      </c>
      <c r="C117" t="inlineStr">
        <is>
          <t>Seeker's Adorned Sutra</t>
        </is>
      </c>
      <c r="D117" t="n">
        <v>83</v>
      </c>
      <c r="E117" t="n">
        <v>387</v>
      </c>
      <c r="F117" t="inlineStr">
        <is>
          <t>Sutra</t>
        </is>
      </c>
      <c r="G117" s="4">
        <f>INDEX('Peça 1'!F:F,MATCH(D117,'Peça 1'!A:A,0))&amp;""</f>
        <v/>
      </c>
      <c r="H117" s="4">
        <f>IF(AND(INDEX('Nomes-base'!B:B,MATCH(F117,'Nomes-base'!A:A,0))="f",INDEX('Peça 2'!G:G,MATCH(E117,'Peça 2'!A:A,0))&amp;""&lt;&gt;""),INDEX('Peça 2'!G:G,MATCH(E117,'Peça 2'!A:A,0))&amp;"",INDEX('Peça 2'!F:F,MATCH(E117,'Peça 2'!A:A,0))&amp;"")</f>
        <v/>
      </c>
      <c r="I117" s="4">
        <f>IF(OR(H117="",ISNUMBER(SEARCH(" ",H117)),INDEX('Nomes-base'!C:C,MATCH(F117,'Nomes-base'!A:A,0))&lt;&gt;"p"),H117,IF(RIGHT(H117,1)="s",H117,IF(RIGHT(H117,1)="l",LEFT(H117,LEN(H117)-1)&amp;"is",IF(OR(RIGHT(H117,1)="r",RIGHT(H117,1)="z"),H117&amp;"es",IF(RIGHT(H117,1)="m",LEFT(H117,LEN(H117)-1)&amp;"ns",H117&amp;"s")))))</f>
        <v/>
      </c>
    </row>
    <row r="118">
      <c r="A118" s="3">
        <f>IF(OR(G118="",I118=""),"(falta traduzir)",F118&amp;" "&amp;I118&amp;" "&amp;G118)</f>
        <v/>
      </c>
      <c r="B118" t="inlineStr">
        <is>
          <t>元璃贯龙枪</t>
        </is>
      </c>
      <c r="C118" t="inlineStr">
        <is>
          <t>Origin's Shiny Splitting Dragon Spear</t>
        </is>
      </c>
      <c r="D118" t="n">
        <v>84</v>
      </c>
      <c r="E118" t="n">
        <v>260</v>
      </c>
      <c r="F118" t="inlineStr">
        <is>
          <t>Lança do Dragão Fendente</t>
        </is>
      </c>
      <c r="G118" s="4">
        <f>INDEX('Peça 1'!F:F,MATCH(D118,'Peça 1'!A:A,0))&amp;""</f>
        <v/>
      </c>
      <c r="H118" s="4">
        <f>IF(AND(INDEX('Nomes-base'!B:B,MATCH(F118,'Nomes-base'!A:A,0))="f",INDEX('Peça 2'!G:G,MATCH(E118,'Peça 2'!A:A,0))&amp;""&lt;&gt;""),INDEX('Peça 2'!G:G,MATCH(E118,'Peça 2'!A:A,0))&amp;"",INDEX('Peça 2'!F:F,MATCH(E118,'Peça 2'!A:A,0))&amp;"")</f>
        <v/>
      </c>
      <c r="I118" s="4">
        <f>IF(OR(H118="",ISNUMBER(SEARCH(" ",H118)),INDEX('Nomes-base'!C:C,MATCH(F118,'Nomes-base'!A:A,0))&lt;&gt;"p"),H118,IF(RIGHT(H118,1)="s",H118,IF(RIGHT(H118,1)="l",LEFT(H118,LEN(H118)-1)&amp;"is",IF(OR(RIGHT(H118,1)="r",RIGHT(H118,1)="z"),H118&amp;"es",IF(RIGHT(H118,1)="m",LEFT(H118,LEN(H118)-1)&amp;"ns",H118&amp;"s")))))</f>
        <v/>
      </c>
    </row>
    <row r="119">
      <c r="A119" s="3">
        <f>IF(OR(G119="",I119=""),"(falta traduzir)",F119&amp;" "&amp;I119&amp;" "&amp;G119)</f>
        <v/>
      </c>
      <c r="B119" t="inlineStr">
        <is>
          <t>融军毒沼术</t>
        </is>
      </c>
      <c r="C119" t="inlineStr">
        <is>
          <t>Melter's Military Poisonous Marsh</t>
        </is>
      </c>
      <c r="D119" t="n">
        <v>85</v>
      </c>
      <c r="E119" t="n">
        <v>333</v>
      </c>
      <c r="F119" t="inlineStr">
        <is>
          <t>Pântano Venenoso</t>
        </is>
      </c>
      <c r="G119" s="4">
        <f>INDEX('Peça 1'!F:F,MATCH(D119,'Peça 1'!A:A,0))&amp;""</f>
        <v/>
      </c>
      <c r="H119" s="4">
        <f>IF(AND(INDEX('Nomes-base'!B:B,MATCH(F119,'Nomes-base'!A:A,0))="f",INDEX('Peça 2'!G:G,MATCH(E119,'Peça 2'!A:A,0))&amp;""&lt;&gt;""),INDEX('Peça 2'!G:G,MATCH(E119,'Peça 2'!A:A,0))&amp;"",INDEX('Peça 2'!F:F,MATCH(E119,'Peça 2'!A:A,0))&amp;"")</f>
        <v/>
      </c>
      <c r="I119" s="4">
        <f>IF(OR(H119="",ISNUMBER(SEARCH(" ",H119)),INDEX('Nomes-base'!C:C,MATCH(F119,'Nomes-base'!A:A,0))&lt;&gt;"p"),H119,IF(RIGHT(H119,1)="s",H119,IF(RIGHT(H119,1)="l",LEFT(H119,LEN(H119)-1)&amp;"is",IF(OR(RIGHT(H119,1)="r",RIGHT(H119,1)="z"),H119&amp;"es",IF(RIGHT(H119,1)="m",LEFT(H119,LEN(H119)-1)&amp;"ns",H119&amp;"s")))))</f>
        <v/>
      </c>
    </row>
    <row r="120">
      <c r="A120" s="3">
        <f>IF(OR(G120="",I120=""),"(falta traduzir)",F120&amp;" "&amp;I120&amp;" "&amp;G120)</f>
        <v/>
      </c>
      <c r="B120" t="inlineStr">
        <is>
          <t>轰星怒血斩</t>
        </is>
      </c>
      <c r="C120" t="inlineStr">
        <is>
          <t>Boomer's Starry Furyblood Cleave</t>
        </is>
      </c>
      <c r="D120" t="n">
        <v>86</v>
      </c>
      <c r="E120" t="n">
        <v>206</v>
      </c>
      <c r="F120" t="inlineStr">
        <is>
          <t>Corte do Sangue Furioso</t>
        </is>
      </c>
      <c r="G120" s="4">
        <f>INDEX('Peça 1'!F:F,MATCH(D120,'Peça 1'!A:A,0))&amp;""</f>
        <v/>
      </c>
      <c r="H120" s="4">
        <f>IF(AND(INDEX('Nomes-base'!B:B,MATCH(F120,'Nomes-base'!A:A,0))="f",INDEX('Peça 2'!G:G,MATCH(E120,'Peça 2'!A:A,0))&amp;""&lt;&gt;""),INDEX('Peça 2'!G:G,MATCH(E120,'Peça 2'!A:A,0))&amp;"",INDEX('Peça 2'!F:F,MATCH(E120,'Peça 2'!A:A,0))&amp;"")</f>
        <v/>
      </c>
      <c r="I120" s="4">
        <f>IF(OR(H120="",ISNUMBER(SEARCH(" ",H120)),INDEX('Nomes-base'!C:C,MATCH(F120,'Nomes-base'!A:A,0))&lt;&gt;"p"),H120,IF(RIGHT(H120,1)="s",H120,IF(RIGHT(H120,1)="l",LEFT(H120,LEN(H120)-1)&amp;"is",IF(OR(RIGHT(H120,1)="r",RIGHT(H120,1)="z"),H120&amp;"es",IF(RIGHT(H120,1)="m",LEFT(H120,LEN(H120)-1)&amp;"ns",H120&amp;"s")))))</f>
        <v/>
      </c>
    </row>
    <row r="121">
      <c r="A121" s="3">
        <f>IF(OR(G121="",I121=""),"(falta traduzir)",F121&amp;" "&amp;I121&amp;" "&amp;G121)</f>
        <v/>
      </c>
      <c r="B121" t="inlineStr">
        <is>
          <t>独碎遁</t>
        </is>
      </c>
      <c r="C121" t="inlineStr">
        <is>
          <t>Loner's Breaking Burrow</t>
        </is>
      </c>
      <c r="D121" t="n">
        <v>87</v>
      </c>
      <c r="E121" t="n">
        <v>279</v>
      </c>
      <c r="F121" t="inlineStr">
        <is>
          <t>Escavação</t>
        </is>
      </c>
      <c r="G121" s="4">
        <f>INDEX('Peça 1'!F:F,MATCH(D121,'Peça 1'!A:A,0))&amp;""</f>
        <v/>
      </c>
      <c r="H121" s="4">
        <f>IF(AND(INDEX('Nomes-base'!B:B,MATCH(F121,'Nomes-base'!A:A,0))="f",INDEX('Peça 2'!G:G,MATCH(E121,'Peça 2'!A:A,0))&amp;""&lt;&gt;""),INDEX('Peça 2'!G:G,MATCH(E121,'Peça 2'!A:A,0))&amp;"",INDEX('Peça 2'!F:F,MATCH(E121,'Peça 2'!A:A,0))&amp;"")</f>
        <v/>
      </c>
      <c r="I121" s="4">
        <f>IF(OR(H121="",ISNUMBER(SEARCH(" ",H121)),INDEX('Nomes-base'!C:C,MATCH(F121,'Nomes-base'!A:A,0))&lt;&gt;"p"),H121,IF(RIGHT(H121,1)="s",H121,IF(RIGHT(H121,1)="l",LEFT(H121,LEN(H121)-1)&amp;"is",IF(OR(RIGHT(H121,1)="r",RIGHT(H121,1)="z"),H121&amp;"es",IF(RIGHT(H121,1)="m",LEFT(H121,LEN(H121)-1)&amp;"ns",H121&amp;"s")))))</f>
        <v/>
      </c>
    </row>
    <row r="122">
      <c r="A122" s="3">
        <f>IF(OR(G122="",I122=""),"(falta traduzir)",F122&amp;" "&amp;I122&amp;" "&amp;G122)</f>
        <v/>
      </c>
      <c r="B122" t="inlineStr">
        <is>
          <t>折芒影</t>
        </is>
      </c>
      <c r="C122" t="inlineStr">
        <is>
          <t>Refraction's Blinding Shadow</t>
        </is>
      </c>
      <c r="D122" t="n">
        <v>88</v>
      </c>
      <c r="E122" t="n">
        <v>352</v>
      </c>
      <c r="F122" t="inlineStr">
        <is>
          <t>Sombra</t>
        </is>
      </c>
      <c r="G122" s="4">
        <f>INDEX('Peça 1'!F:F,MATCH(D122,'Peça 1'!A:A,0))&amp;""</f>
        <v/>
      </c>
      <c r="H122" s="4">
        <f>IF(AND(INDEX('Nomes-base'!B:B,MATCH(F122,'Nomes-base'!A:A,0))="f",INDEX('Peça 2'!G:G,MATCH(E122,'Peça 2'!A:A,0))&amp;""&lt;&gt;""),INDEX('Peça 2'!G:G,MATCH(E122,'Peça 2'!A:A,0))&amp;"",INDEX('Peça 2'!F:F,MATCH(E122,'Peça 2'!A:A,0))&amp;"")</f>
        <v/>
      </c>
      <c r="I122" s="4">
        <f>IF(OR(H122="",ISNUMBER(SEARCH(" ",H122)),INDEX('Nomes-base'!C:C,MATCH(F122,'Nomes-base'!A:A,0))&lt;&gt;"p"),H122,IF(RIGHT(H122,1)="s",H122,IF(RIGHT(H122,1)="l",LEFT(H122,LEN(H122)-1)&amp;"is",IF(OR(RIGHT(H122,1)="r",RIGHT(H122,1)="z"),H122&amp;"es",IF(RIGHT(H122,1)="m",LEFT(H122,LEN(H122)-1)&amp;"ns",H122&amp;"s")))))</f>
        <v/>
      </c>
    </row>
    <row r="123">
      <c r="A123" s="3">
        <f>IF(OR(G123="",I123=""),"(falta traduzir)",F123&amp;" "&amp;I123&amp;" "&amp;G123)</f>
        <v/>
      </c>
      <c r="B123" t="inlineStr">
        <is>
          <t>阳血录</t>
        </is>
      </c>
      <c r="C123" t="inlineStr">
        <is>
          <t>Sun's Blooded Compendium</t>
        </is>
      </c>
      <c r="D123" t="n">
        <v>89</v>
      </c>
      <c r="E123" t="n">
        <v>225</v>
      </c>
      <c r="F123" t="inlineStr">
        <is>
          <t>Compêndio</t>
        </is>
      </c>
      <c r="G123" s="4">
        <f>INDEX('Peça 1'!F:F,MATCH(D123,'Peça 1'!A:A,0))&amp;""</f>
        <v/>
      </c>
      <c r="H123" s="4">
        <f>IF(AND(INDEX('Nomes-base'!B:B,MATCH(F123,'Nomes-base'!A:A,0))="f",INDEX('Peça 2'!G:G,MATCH(E123,'Peça 2'!A:A,0))&amp;""&lt;&gt;""),INDEX('Peça 2'!G:G,MATCH(E123,'Peça 2'!A:A,0))&amp;"",INDEX('Peça 2'!F:F,MATCH(E123,'Peça 2'!A:A,0))&amp;"")</f>
        <v/>
      </c>
      <c r="I123" s="4">
        <f>IF(OR(H123="",ISNUMBER(SEARCH(" ",H123)),INDEX('Nomes-base'!C:C,MATCH(F123,'Nomes-base'!A:A,0))&lt;&gt;"p"),H123,IF(RIGHT(H123,1)="s",H123,IF(RIGHT(H123,1)="l",LEFT(H123,LEN(H123)-1)&amp;"is",IF(OR(RIGHT(H123,1)="r",RIGHT(H123,1)="z"),H123&amp;"es",IF(RIGHT(H123,1)="m",LEFT(H123,LEN(H123)-1)&amp;"ns",H123&amp;"s")))))</f>
        <v/>
      </c>
    </row>
    <row r="124">
      <c r="A124" s="3">
        <f>IF(OR(G124="",I124=""),"(falta traduzir)",F124&amp;" "&amp;I124&amp;" "&amp;G124)</f>
        <v/>
      </c>
      <c r="B124" t="inlineStr">
        <is>
          <t>雨湖雷光术</t>
        </is>
      </c>
      <c r="C124" t="inlineStr">
        <is>
          <t>Rain's Streaming Voltshot</t>
        </is>
      </c>
      <c r="D124" t="n">
        <v>90</v>
      </c>
      <c r="E124" t="n">
        <v>298</v>
      </c>
      <c r="F124" t="inlineStr">
        <is>
          <t>Disparo Elétrico</t>
        </is>
      </c>
      <c r="G124" s="4">
        <f>INDEX('Peça 1'!F:F,MATCH(D124,'Peça 1'!A:A,0))&amp;""</f>
        <v/>
      </c>
      <c r="H124" s="4">
        <f>IF(AND(INDEX('Nomes-base'!B:B,MATCH(F124,'Nomes-base'!A:A,0))="f",INDEX('Peça 2'!G:G,MATCH(E124,'Peça 2'!A:A,0))&amp;""&lt;&gt;""),INDEX('Peça 2'!G:G,MATCH(E124,'Peça 2'!A:A,0))&amp;"",INDEX('Peça 2'!F:F,MATCH(E124,'Peça 2'!A:A,0))&amp;"")</f>
        <v/>
      </c>
      <c r="I124" s="4">
        <f>IF(OR(H124="",ISNUMBER(SEARCH(" ",H124)),INDEX('Nomes-base'!C:C,MATCH(F124,'Nomes-base'!A:A,0))&lt;&gt;"p"),H124,IF(RIGHT(H124,1)="s",H124,IF(RIGHT(H124,1)="l",LEFT(H124,LEN(H124)-1)&amp;"is",IF(OR(RIGHT(H124,1)="r",RIGHT(H124,1)="z"),H124&amp;"es",IF(RIGHT(H124,1)="m",LEFT(H124,LEN(H124)-1)&amp;"ns",H124&amp;"s")))))</f>
        <v/>
      </c>
    </row>
    <row r="125">
      <c r="A125" s="3">
        <f>IF(OR(G125="",I125=""),"(falta traduzir)",F125&amp;" "&amp;I125&amp;" "&amp;G125)</f>
        <v/>
      </c>
      <c r="B125" t="inlineStr">
        <is>
          <t>追玄霜灵爆</t>
        </is>
      </c>
      <c r="C125" t="inlineStr">
        <is>
          <t>Chaser's Mystical Frost Spirit Blast</t>
        </is>
      </c>
      <c r="D125" t="n">
        <v>91</v>
      </c>
      <c r="E125" t="n">
        <v>371</v>
      </c>
      <c r="F125" t="inlineStr">
        <is>
          <t>Explosão de Espírito Gélido</t>
        </is>
      </c>
      <c r="G125" s="4">
        <f>INDEX('Peça 1'!F:F,MATCH(D125,'Peça 1'!A:A,0))&amp;""</f>
        <v/>
      </c>
      <c r="H125" s="4">
        <f>IF(AND(INDEX('Nomes-base'!B:B,MATCH(F125,'Nomes-base'!A:A,0))="f",INDEX('Peça 2'!G:G,MATCH(E125,'Peça 2'!A:A,0))&amp;""&lt;&gt;""),INDEX('Peça 2'!G:G,MATCH(E125,'Peça 2'!A:A,0))&amp;"",INDEX('Peça 2'!F:F,MATCH(E125,'Peça 2'!A:A,0))&amp;"")</f>
        <v/>
      </c>
      <c r="I125" s="4">
        <f>IF(OR(H125="",ISNUMBER(SEARCH(" ",H125)),INDEX('Nomes-base'!C:C,MATCH(F125,'Nomes-base'!A:A,0))&lt;&gt;"p"),H125,IF(RIGHT(H125,1)="s",H125,IF(RIGHT(H125,1)="l",LEFT(H125,LEN(H125)-1)&amp;"is",IF(OR(RIGHT(H125,1)="r",RIGHT(H125,1)="z"),H125&amp;"es",IF(RIGHT(H125,1)="m",LEFT(H125,LEN(H125)-1)&amp;"ns",H125&amp;"s")))))</f>
        <v/>
      </c>
    </row>
    <row r="126">
      <c r="A126" s="3">
        <f>IF(OR(G126="",I126=""),"(falta traduzir)",F126&amp;" "&amp;I126&amp;" "&amp;G126)</f>
        <v/>
      </c>
      <c r="B126" t="inlineStr">
        <is>
          <t>白玉幻</t>
        </is>
      </c>
      <c r="C126" t="inlineStr">
        <is>
          <t>Washer's Jade Illusion</t>
        </is>
      </c>
      <c r="D126" t="n">
        <v>92</v>
      </c>
      <c r="E126" t="n">
        <v>244</v>
      </c>
      <c r="F126" t="inlineStr">
        <is>
          <t>Ilusão</t>
        </is>
      </c>
      <c r="G126" s="4">
        <f>INDEX('Peça 1'!F:F,MATCH(D126,'Peça 1'!A:A,0))&amp;""</f>
        <v/>
      </c>
      <c r="H126" s="4">
        <f>IF(AND(INDEX('Nomes-base'!B:B,MATCH(F126,'Nomes-base'!A:A,0))="f",INDEX('Peça 2'!G:G,MATCH(E126,'Peça 2'!A:A,0))&amp;""&lt;&gt;""),INDEX('Peça 2'!G:G,MATCH(E126,'Peça 2'!A:A,0))&amp;"",INDEX('Peça 2'!F:F,MATCH(E126,'Peça 2'!A:A,0))&amp;"")</f>
        <v/>
      </c>
      <c r="I126" s="4">
        <f>IF(OR(H126="",ISNUMBER(SEARCH(" ",H126)),INDEX('Nomes-base'!C:C,MATCH(F126,'Nomes-base'!A:A,0))&lt;&gt;"p"),H126,IF(RIGHT(H126,1)="s",H126,IF(RIGHT(H126,1)="l",LEFT(H126,LEN(H126)-1)&amp;"is",IF(OR(RIGHT(H126,1)="r",RIGHT(H126,1)="z"),H126&amp;"es",IF(RIGHT(H126,1)="m",LEFT(H126,LEN(H126)-1)&amp;"ns",H126&amp;"s")))))</f>
        <v/>
      </c>
    </row>
    <row r="127">
      <c r="A127" s="3">
        <f>IF(OR(G127="",I127=""),"(falta traduzir)",F127&amp;" "&amp;I127&amp;" "&amp;G127)</f>
        <v/>
      </c>
      <c r="B127" t="inlineStr">
        <is>
          <t>夜动冲</t>
        </is>
      </c>
      <c r="C127" t="inlineStr">
        <is>
          <t>Night's Moving Charge</t>
        </is>
      </c>
      <c r="D127" t="n">
        <v>93</v>
      </c>
      <c r="E127" t="n">
        <v>317</v>
      </c>
      <c r="F127" t="inlineStr">
        <is>
          <t>Carga</t>
        </is>
      </c>
      <c r="G127" s="4">
        <f>INDEX('Peça 1'!F:F,MATCH(D127,'Peça 1'!A:A,0))&amp;""</f>
        <v/>
      </c>
      <c r="H127" s="4">
        <f>IF(AND(INDEX('Nomes-base'!B:B,MATCH(F127,'Nomes-base'!A:A,0))="f",INDEX('Peça 2'!G:G,MATCH(E127,'Peça 2'!A:A,0))&amp;""&lt;&gt;""),INDEX('Peça 2'!G:G,MATCH(E127,'Peça 2'!A:A,0))&amp;"",INDEX('Peça 2'!F:F,MATCH(E127,'Peça 2'!A:A,0))&amp;"")</f>
        <v/>
      </c>
      <c r="I127" s="4">
        <f>IF(OR(H127="",ISNUMBER(SEARCH(" ",H127)),INDEX('Nomes-base'!C:C,MATCH(F127,'Nomes-base'!A:A,0))&lt;&gt;"p"),H127,IF(RIGHT(H127,1)="s",H127,IF(RIGHT(H127,1)="l",LEFT(H127,LEN(H127)-1)&amp;"is",IF(OR(RIGHT(H127,1)="r",RIGHT(H127,1)="z"),H127&amp;"es",IF(RIGHT(H127,1)="m",LEFT(H127,LEN(H127)-1)&amp;"ns",H127&amp;"s")))))</f>
        <v/>
      </c>
    </row>
    <row r="128">
      <c r="A128" s="3">
        <f>IF(OR(G128="",I128=""),"(falta traduzir)",F128&amp;" "&amp;I128&amp;" "&amp;G128)</f>
        <v/>
      </c>
      <c r="B128" t="inlineStr">
        <is>
          <t>吞魅劲</t>
        </is>
      </c>
      <c r="C128" t="inlineStr">
        <is>
          <t>Devourer's Alluring Move</t>
        </is>
      </c>
      <c r="D128" t="n">
        <v>94</v>
      </c>
      <c r="E128" t="n">
        <v>390</v>
      </c>
      <c r="F128" t="inlineStr">
        <is>
          <t>Movimentação</t>
        </is>
      </c>
      <c r="G128" s="4">
        <f>INDEX('Peça 1'!F:F,MATCH(D128,'Peça 1'!A:A,0))&amp;""</f>
        <v/>
      </c>
      <c r="H128" s="4">
        <f>IF(AND(INDEX('Nomes-base'!B:B,MATCH(F128,'Nomes-base'!A:A,0))="f",INDEX('Peça 2'!G:G,MATCH(E128,'Peça 2'!A:A,0))&amp;""&lt;&gt;""),INDEX('Peça 2'!G:G,MATCH(E128,'Peça 2'!A:A,0))&amp;"",INDEX('Peça 2'!F:F,MATCH(E128,'Peça 2'!A:A,0))&amp;"")</f>
        <v/>
      </c>
      <c r="I128" s="4">
        <f>IF(OR(H128="",ISNUMBER(SEARCH(" ",H128)),INDEX('Nomes-base'!C:C,MATCH(F128,'Nomes-base'!A:A,0))&lt;&gt;"p"),H128,IF(RIGHT(H128,1)="s",H128,IF(RIGHT(H128,1)="l",LEFT(H128,LEN(H128)-1)&amp;"is",IF(OR(RIGHT(H128,1)="r",RIGHT(H128,1)="z"),H128&amp;"es",IF(RIGHT(H128,1)="m",LEFT(H128,LEN(H128)-1)&amp;"ns",H128&amp;"s")))))</f>
        <v/>
      </c>
    </row>
    <row r="129">
      <c r="A129" s="3">
        <f>IF(OR(G129="",I129=""),"(falta traduzir)",F129&amp;" "&amp;I129&amp;" "&amp;G129)</f>
        <v/>
      </c>
      <c r="B129" t="inlineStr">
        <is>
          <t>迅舞青涛掌</t>
        </is>
      </c>
      <c r="C129" t="inlineStr">
        <is>
          <t>Haste's Dancing Greenwave Palm</t>
        </is>
      </c>
      <c r="D129" t="n">
        <v>95</v>
      </c>
      <c r="E129" t="n">
        <v>263</v>
      </c>
      <c r="F129" t="inlineStr">
        <is>
          <t>Palma da Onda Verde</t>
        </is>
      </c>
      <c r="G129" s="4">
        <f>INDEX('Peça 1'!F:F,MATCH(D129,'Peça 1'!A:A,0))&amp;""</f>
        <v/>
      </c>
      <c r="H129" s="4">
        <f>IF(AND(INDEX('Nomes-base'!B:B,MATCH(F129,'Nomes-base'!A:A,0))="f",INDEX('Peça 2'!G:G,MATCH(E129,'Peça 2'!A:A,0))&amp;""&lt;&gt;""),INDEX('Peça 2'!G:G,MATCH(E129,'Peça 2'!A:A,0))&amp;"",INDEX('Peça 2'!F:F,MATCH(E129,'Peça 2'!A:A,0))&amp;"")</f>
        <v/>
      </c>
      <c r="I129" s="4">
        <f>IF(OR(H129="",ISNUMBER(SEARCH(" ",H129)),INDEX('Nomes-base'!C:C,MATCH(F129,'Nomes-base'!A:A,0))&lt;&gt;"p"),H129,IF(RIGHT(H129,1)="s",H129,IF(RIGHT(H129,1)="l",LEFT(H129,LEN(H129)-1)&amp;"is",IF(OR(RIGHT(H129,1)="r",RIGHT(H129,1)="z"),H129&amp;"es",IF(RIGHT(H129,1)="m",LEFT(H129,LEN(H129)-1)&amp;"ns",H129&amp;"s")))))</f>
        <v/>
      </c>
    </row>
    <row r="130">
      <c r="A130" s="3">
        <f>IF(OR(G130="",I130=""),"(falta traduzir)",F130&amp;" "&amp;I130&amp;" "&amp;G130)</f>
        <v/>
      </c>
      <c r="B130" t="inlineStr">
        <is>
          <t>溟和灵虚爆</t>
        </is>
      </c>
      <c r="C130" t="inlineStr">
        <is>
          <t>Hell's Peaceful Void Spirit Blast</t>
        </is>
      </c>
      <c r="D130" t="n">
        <v>96</v>
      </c>
      <c r="E130" t="n">
        <v>336</v>
      </c>
      <c r="F130" t="inlineStr">
        <is>
          <t>Explosão de Espírito do Vazio</t>
        </is>
      </c>
      <c r="G130" s="4">
        <f>INDEX('Peça 1'!F:F,MATCH(D130,'Peça 1'!A:A,0))&amp;""</f>
        <v/>
      </c>
      <c r="H130" s="4">
        <f>IF(AND(INDEX('Nomes-base'!B:B,MATCH(F130,'Nomes-base'!A:A,0))="f",INDEX('Peça 2'!G:G,MATCH(E130,'Peça 2'!A:A,0))&amp;""&lt;&gt;""),INDEX('Peça 2'!G:G,MATCH(E130,'Peça 2'!A:A,0))&amp;"",INDEX('Peça 2'!F:F,MATCH(E130,'Peça 2'!A:A,0))&amp;"")</f>
        <v/>
      </c>
      <c r="I130" s="4">
        <f>IF(OR(H130="",ISNUMBER(SEARCH(" ",H130)),INDEX('Nomes-base'!C:C,MATCH(F130,'Nomes-base'!A:A,0))&lt;&gt;"p"),H130,IF(RIGHT(H130,1)="s",H130,IF(RIGHT(H130,1)="l",LEFT(H130,LEN(H130)-1)&amp;"is",IF(OR(RIGHT(H130,1)="r",RIGHT(H130,1)="z"),H130&amp;"es",IF(RIGHT(H130,1)="m",LEFT(H130,LEN(H130)-1)&amp;"ns",H130&amp;"s")))))</f>
        <v/>
      </c>
    </row>
    <row r="131">
      <c r="A131" s="3">
        <f>IF(OR(G131="",I131=""),"(falta traduzir)",F131&amp;" "&amp;I131&amp;" "&amp;G131)</f>
        <v/>
      </c>
      <c r="B131" t="inlineStr">
        <is>
          <t>凌空神功</t>
        </is>
      </c>
      <c r="C131" t="inlineStr">
        <is>
          <t>Razor's Empty Divine Power</t>
        </is>
      </c>
      <c r="D131" t="n">
        <v>97</v>
      </c>
      <c r="E131" t="n">
        <v>209</v>
      </c>
      <c r="F131" t="inlineStr">
        <is>
          <t>Poder Divino</t>
        </is>
      </c>
      <c r="G131" s="4">
        <f>INDEX('Peça 1'!F:F,MATCH(D131,'Peça 1'!A:A,0))&amp;""</f>
        <v/>
      </c>
      <c r="H131" s="4">
        <f>IF(AND(INDEX('Nomes-base'!B:B,MATCH(F131,'Nomes-base'!A:A,0))="f",INDEX('Peça 2'!G:G,MATCH(E131,'Peça 2'!A:A,0))&amp;""&lt;&gt;""),INDEX('Peça 2'!G:G,MATCH(E131,'Peça 2'!A:A,0))&amp;"",INDEX('Peça 2'!F:F,MATCH(E131,'Peça 2'!A:A,0))&amp;"")</f>
        <v/>
      </c>
      <c r="I131" s="4">
        <f>IF(OR(H131="",ISNUMBER(SEARCH(" ",H131)),INDEX('Nomes-base'!C:C,MATCH(F131,'Nomes-base'!A:A,0))&lt;&gt;"p"),H131,IF(RIGHT(H131,1)="s",H131,IF(RIGHT(H131,1)="l",LEFT(H131,LEN(H131)-1)&amp;"is",IF(OR(RIGHT(H131,1)="r",RIGHT(H131,1)="z"),H131&amp;"es",IF(RIGHT(H131,1)="m",LEFT(H131,LEN(H131)-1)&amp;"ns",H131&amp;"s")))))</f>
        <v/>
      </c>
    </row>
    <row r="132">
      <c r="A132" s="3">
        <f>IF(OR(G132="",I132=""),"(falta traduzir)",F132&amp;" "&amp;I132&amp;" "&amp;G132)</f>
        <v/>
      </c>
      <c r="B132" t="inlineStr">
        <is>
          <t>燎吟舞</t>
        </is>
      </c>
      <c r="C132" t="inlineStr">
        <is>
          <t>Blaze's Singing Dance</t>
        </is>
      </c>
      <c r="D132" t="n">
        <v>98</v>
      </c>
      <c r="E132" t="n">
        <v>282</v>
      </c>
      <c r="F132" t="inlineStr">
        <is>
          <t>Dança</t>
        </is>
      </c>
      <c r="G132" s="4">
        <f>INDEX('Peça 1'!F:F,MATCH(D132,'Peça 1'!A:A,0))&amp;""</f>
        <v/>
      </c>
      <c r="H132" s="4">
        <f>IF(AND(INDEX('Nomes-base'!B:B,MATCH(F132,'Nomes-base'!A:A,0))="f",INDEX('Peça 2'!G:G,MATCH(E132,'Peça 2'!A:A,0))&amp;""&lt;&gt;""),INDEX('Peça 2'!G:G,MATCH(E132,'Peça 2'!A:A,0))&amp;"",INDEX('Peça 2'!F:F,MATCH(E132,'Peça 2'!A:A,0))&amp;"")</f>
        <v/>
      </c>
      <c r="I132" s="4">
        <f>IF(OR(H132="",ISNUMBER(SEARCH(" ",H132)),INDEX('Nomes-base'!C:C,MATCH(F132,'Nomes-base'!A:A,0))&lt;&gt;"p"),H132,IF(RIGHT(H132,1)="s",H132,IF(RIGHT(H132,1)="l",LEFT(H132,LEN(H132)-1)&amp;"is",IF(OR(RIGHT(H132,1)="r",RIGHT(H132,1)="z"),H132&amp;"es",IF(RIGHT(H132,1)="m",LEFT(H132,LEN(H132)-1)&amp;"ns",H132&amp;"s")))))</f>
        <v/>
      </c>
    </row>
    <row r="133">
      <c r="A133" s="3">
        <f>IF(OR(G133="",I133=""),"(falta traduzir)",F133&amp;" "&amp;I133&amp;" "&amp;G133)</f>
        <v/>
      </c>
      <c r="B133" t="inlineStr">
        <is>
          <t>影真冰刺术</t>
        </is>
      </c>
      <c r="C133" t="inlineStr">
        <is>
          <t>Shadow's Only Icicle</t>
        </is>
      </c>
      <c r="D133" t="n">
        <v>99</v>
      </c>
      <c r="E133" t="n">
        <v>355</v>
      </c>
      <c r="F133" t="inlineStr">
        <is>
          <t>Pingente de Gelo</t>
        </is>
      </c>
      <c r="G133" s="4">
        <f>INDEX('Peça 1'!F:F,MATCH(D133,'Peça 1'!A:A,0))&amp;""</f>
        <v/>
      </c>
      <c r="H133" s="4">
        <f>IF(AND(INDEX('Nomes-base'!B:B,MATCH(F133,'Nomes-base'!A:A,0))="f",INDEX('Peça 2'!G:G,MATCH(E133,'Peça 2'!A:A,0))&amp;""&lt;&gt;""),INDEX('Peça 2'!G:G,MATCH(E133,'Peça 2'!A:A,0))&amp;"",INDEX('Peça 2'!F:F,MATCH(E133,'Peça 2'!A:A,0))&amp;"")</f>
        <v/>
      </c>
      <c r="I133" s="4">
        <f>IF(OR(H133="",ISNUMBER(SEARCH(" ",H133)),INDEX('Nomes-base'!C:C,MATCH(F133,'Nomes-base'!A:A,0))&lt;&gt;"p"),H133,IF(RIGHT(H133,1)="s",H133,IF(RIGHT(H133,1)="l",LEFT(H133,LEN(H133)-1)&amp;"is",IF(OR(RIGHT(H133,1)="r",RIGHT(H133,1)="z"),H133&amp;"es",IF(RIGHT(H133,1)="m",LEFT(H133,LEN(H133)-1)&amp;"ns",H133&amp;"s")))))</f>
        <v/>
      </c>
    </row>
    <row r="134">
      <c r="A134" s="3">
        <f>IF(OR(G134="",I134=""),"(falta traduzir)",F134&amp;" "&amp;I134&amp;" "&amp;G134)</f>
        <v/>
      </c>
      <c r="B134" t="inlineStr">
        <is>
          <t>霸山秘卷</t>
        </is>
      </c>
      <c r="C134" t="inlineStr">
        <is>
          <t>Emperor's Hilly Secret Manual</t>
        </is>
      </c>
      <c r="D134" t="n">
        <v>100</v>
      </c>
      <c r="E134" t="n">
        <v>228</v>
      </c>
      <c r="F134" t="inlineStr">
        <is>
          <t>Manual Secreto</t>
        </is>
      </c>
      <c r="G134" s="4">
        <f>INDEX('Peça 1'!F:F,MATCH(D134,'Peça 1'!A:A,0))&amp;""</f>
        <v/>
      </c>
      <c r="H134" s="4">
        <f>IF(AND(INDEX('Nomes-base'!B:B,MATCH(F134,'Nomes-base'!A:A,0))="f",INDEX('Peça 2'!G:G,MATCH(E134,'Peça 2'!A:A,0))&amp;""&lt;&gt;""),INDEX('Peça 2'!G:G,MATCH(E134,'Peça 2'!A:A,0))&amp;"",INDEX('Peça 2'!F:F,MATCH(E134,'Peça 2'!A:A,0))&amp;"")</f>
        <v/>
      </c>
      <c r="I134" s="4">
        <f>IF(OR(H134="",ISNUMBER(SEARCH(" ",H134)),INDEX('Nomes-base'!C:C,MATCH(F134,'Nomes-base'!A:A,0))&lt;&gt;"p"),H134,IF(RIGHT(H134,1)="s",H134,IF(RIGHT(H134,1)="l",LEFT(H134,LEN(H134)-1)&amp;"is",IF(OR(RIGHT(H134,1)="r",RIGHT(H134,1)="z"),H134&amp;"es",IF(RIGHT(H134,1)="m",LEFT(H134,LEN(H134)-1)&amp;"ns",H134&amp;"s")))))</f>
        <v/>
      </c>
    </row>
    <row r="135">
      <c r="A135" s="3">
        <f>IF(OR(G135="",I135=""),"(falta traduzir)",F135&amp;" "&amp;I135&amp;" "&amp;G135)</f>
        <v/>
      </c>
      <c r="B135" t="inlineStr">
        <is>
          <t>凛江风刃术</t>
        </is>
      </c>
      <c r="C135" t="inlineStr">
        <is>
          <t>Edge's Engulfing Wind Edge</t>
        </is>
      </c>
      <c r="D135" t="n">
        <v>101</v>
      </c>
      <c r="E135" t="n">
        <v>301</v>
      </c>
      <c r="F135" t="inlineStr">
        <is>
          <t>Gume do Vento</t>
        </is>
      </c>
      <c r="G135" s="4">
        <f>INDEX('Peça 1'!F:F,MATCH(D135,'Peça 1'!A:A,0))&amp;""</f>
        <v/>
      </c>
      <c r="H135" s="4">
        <f>IF(AND(INDEX('Nomes-base'!B:B,MATCH(F135,'Nomes-base'!A:A,0))="f",INDEX('Peça 2'!G:G,MATCH(E135,'Peça 2'!A:A,0))&amp;""&lt;&gt;""),INDEX('Peça 2'!G:G,MATCH(E135,'Peça 2'!A:A,0))&amp;"",INDEX('Peça 2'!F:F,MATCH(E135,'Peça 2'!A:A,0))&amp;"")</f>
        <v/>
      </c>
      <c r="I135" s="4">
        <f>IF(OR(H135="",ISNUMBER(SEARCH(" ",H135)),INDEX('Nomes-base'!C:C,MATCH(F135,'Nomes-base'!A:A,0))&lt;&gt;"p"),H135,IF(RIGHT(H135,1)="s",H135,IF(RIGHT(H135,1)="l",LEFT(H135,LEN(H135)-1)&amp;"is",IF(OR(RIGHT(H135,1)="r",RIGHT(H135,1)="z"),H135&amp;"es",IF(RIGHT(H135,1)="m",LEFT(H135,LEN(H135)-1)&amp;"ns",H135&amp;"s")))))</f>
        <v/>
      </c>
    </row>
    <row r="136">
      <c r="A136" s="3">
        <f>IF(OR(G136="",I136=""),"(falta traduzir)",F136&amp;" "&amp;I136&amp;" "&amp;G136)</f>
        <v/>
      </c>
      <c r="B136" t="inlineStr">
        <is>
          <t>刹枢破体拳</t>
        </is>
      </c>
      <c r="C136" t="inlineStr">
        <is>
          <t>Killer's Key Shadowy Fist</t>
        </is>
      </c>
      <c r="D136" t="n">
        <v>102</v>
      </c>
      <c r="E136" t="n">
        <v>374</v>
      </c>
      <c r="F136" t="inlineStr">
        <is>
          <t>Punho Sombrio</t>
        </is>
      </c>
      <c r="G136" s="4">
        <f>INDEX('Peça 1'!F:F,MATCH(D136,'Peça 1'!A:A,0))&amp;""</f>
        <v/>
      </c>
      <c r="H136" s="4">
        <f>IF(AND(INDEX('Nomes-base'!B:B,MATCH(F136,'Nomes-base'!A:A,0))="f",INDEX('Peça 2'!G:G,MATCH(E136,'Peça 2'!A:A,0))&amp;""&lt;&gt;""),INDEX('Peça 2'!G:G,MATCH(E136,'Peça 2'!A:A,0))&amp;"",INDEX('Peça 2'!F:F,MATCH(E136,'Peça 2'!A:A,0))&amp;"")</f>
        <v/>
      </c>
      <c r="I136" s="4">
        <f>IF(OR(H136="",ISNUMBER(SEARCH(" ",H136)),INDEX('Nomes-base'!C:C,MATCH(F136,'Nomes-base'!A:A,0))&lt;&gt;"p"),H136,IF(RIGHT(H136,1)="s",H136,IF(RIGHT(H136,1)="l",LEFT(H136,LEN(H136)-1)&amp;"is",IF(OR(RIGHT(H136,1)="r",RIGHT(H136,1)="z"),H136&amp;"es",IF(RIGHT(H136,1)="m",LEFT(H136,LEN(H136)-1)&amp;"ns",H136&amp;"s")))))</f>
        <v/>
      </c>
    </row>
    <row r="137">
      <c r="A137" s="3">
        <f>IF(OR(G137="",I137=""),"(falta traduzir)",F137&amp;" "&amp;I137&amp;" "&amp;G137)</f>
        <v/>
      </c>
      <c r="B137" t="inlineStr">
        <is>
          <t>清岩闪</t>
        </is>
      </c>
      <c r="C137" t="inlineStr">
        <is>
          <t>Blessed's Stony Flash</t>
        </is>
      </c>
      <c r="D137" t="n">
        <v>103</v>
      </c>
      <c r="E137" t="n">
        <v>247</v>
      </c>
      <c r="F137" t="inlineStr">
        <is>
          <t>Lampejo</t>
        </is>
      </c>
      <c r="G137" s="4">
        <f>INDEX('Peça 1'!F:F,MATCH(D137,'Peça 1'!A:A,0))&amp;""</f>
        <v/>
      </c>
      <c r="H137" s="4">
        <f>IF(AND(INDEX('Nomes-base'!B:B,MATCH(F137,'Nomes-base'!A:A,0))="f",INDEX('Peça 2'!G:G,MATCH(E137,'Peça 2'!A:A,0))&amp;""&lt;&gt;""),INDEX('Peça 2'!G:G,MATCH(E137,'Peça 2'!A:A,0))&amp;"",INDEX('Peça 2'!F:F,MATCH(E137,'Peça 2'!A:A,0))&amp;"")</f>
        <v/>
      </c>
      <c r="I137" s="4">
        <f>IF(OR(H137="",ISNUMBER(SEARCH(" ",H137)),INDEX('Nomes-base'!C:C,MATCH(F137,'Nomes-base'!A:A,0))&lt;&gt;"p"),H137,IF(RIGHT(H137,1)="s",H137,IF(RIGHT(H137,1)="l",LEFT(H137,LEN(H137)-1)&amp;"is",IF(OR(RIGHT(H137,1)="r",RIGHT(H137,1)="z"),H137&amp;"es",IF(RIGHT(H137,1)="m",LEFT(H137,LEN(H137)-1)&amp;"ns",H137&amp;"s")))))</f>
        <v/>
      </c>
    </row>
    <row r="138">
      <c r="A138" s="3">
        <f>IF(OR(G138="",I138=""),"(falta traduzir)",F138&amp;" "&amp;I138&amp;" "&amp;G138)</f>
        <v/>
      </c>
      <c r="B138" t="inlineStr">
        <is>
          <t>啸英步</t>
        </is>
      </c>
      <c r="C138" t="inlineStr">
        <is>
          <t>Roar's Wise Step</t>
        </is>
      </c>
      <c r="D138" t="n">
        <v>104</v>
      </c>
      <c r="E138" t="n">
        <v>320</v>
      </c>
      <c r="F138" t="inlineStr">
        <is>
          <t>Passo</t>
        </is>
      </c>
      <c r="G138" s="4">
        <f>INDEX('Peça 1'!F:F,MATCH(D138,'Peça 1'!A:A,0))&amp;""</f>
        <v/>
      </c>
      <c r="H138" s="4">
        <f>IF(AND(INDEX('Nomes-base'!B:B,MATCH(F138,'Nomes-base'!A:A,0))="f",INDEX('Peça 2'!G:G,MATCH(E138,'Peça 2'!A:A,0))&amp;""&lt;&gt;""),INDEX('Peça 2'!G:G,MATCH(E138,'Peça 2'!A:A,0))&amp;"",INDEX('Peça 2'!F:F,MATCH(E138,'Peça 2'!A:A,0))&amp;"")</f>
        <v/>
      </c>
      <c r="I138" s="4">
        <f>IF(OR(H138="",ISNUMBER(SEARCH(" ",H138)),INDEX('Nomes-base'!C:C,MATCH(F138,'Nomes-base'!A:A,0))&lt;&gt;"p"),H138,IF(RIGHT(H138,1)="s",H138,IF(RIGHT(H138,1)="l",LEFT(H138,LEN(H138)-1)&amp;"is",IF(OR(RIGHT(H138,1)="r",RIGHT(H138,1)="z"),H138&amp;"es",IF(RIGHT(H138,1)="m",LEFT(H138,LEN(H138)-1)&amp;"ns",H138&amp;"s")))))</f>
        <v/>
      </c>
    </row>
    <row r="139">
      <c r="A139" s="3">
        <f>IF(OR(G139="",I139=""),"(falta traduzir)",F139&amp;" "&amp;I139&amp;" "&amp;G139)</f>
        <v/>
      </c>
      <c r="B139" t="inlineStr">
        <is>
          <t>腾鸿式</t>
        </is>
      </c>
      <c r="C139" t="inlineStr">
        <is>
          <t>Rider's Cardinal Technique</t>
        </is>
      </c>
      <c r="D139" t="n">
        <v>105</v>
      </c>
      <c r="E139" t="n">
        <v>393</v>
      </c>
      <c r="F139" t="inlineStr">
        <is>
          <t>Técnica</t>
        </is>
      </c>
      <c r="G139" s="4">
        <f>INDEX('Peça 1'!F:F,MATCH(D139,'Peça 1'!A:A,0))&amp;""</f>
        <v/>
      </c>
      <c r="H139" s="4">
        <f>IF(AND(INDEX('Nomes-base'!B:B,MATCH(F139,'Nomes-base'!A:A,0))="f",INDEX('Peça 2'!G:G,MATCH(E139,'Peça 2'!A:A,0))&amp;""&lt;&gt;""),INDEX('Peça 2'!G:G,MATCH(E139,'Peça 2'!A:A,0))&amp;"",INDEX('Peça 2'!F:F,MATCH(E139,'Peça 2'!A:A,0))&amp;"")</f>
        <v/>
      </c>
      <c r="I139" s="4">
        <f>IF(OR(H139="",ISNUMBER(SEARCH(" ",H139)),INDEX('Nomes-base'!C:C,MATCH(F139,'Nomes-base'!A:A,0))&lt;&gt;"p"),H139,IF(RIGHT(H139,1)="s",H139,IF(RIGHT(H139,1)="l",LEFT(H139,LEN(H139)-1)&amp;"is",IF(OR(RIGHT(H139,1)="r",RIGHT(H139,1)="z"),H139&amp;"es",IF(RIGHT(H139,1)="m",LEFT(H139,LEN(H139)-1)&amp;"ns",H139&amp;"s")))))</f>
        <v/>
      </c>
    </row>
    <row r="140">
      <c r="A140" s="3">
        <f>IF(OR(G140="",I140=""),"(falta traduzir)",F140&amp;" "&amp;I140&amp;" "&amp;G140)</f>
        <v/>
      </c>
      <c r="B140" t="inlineStr">
        <is>
          <t>惊飘旋风刀</t>
        </is>
      </c>
      <c r="C140" t="inlineStr">
        <is>
          <t>Fear's Drifting Whirlwind Blade</t>
        </is>
      </c>
      <c r="D140" t="n">
        <v>106</v>
      </c>
      <c r="E140" t="n">
        <v>266</v>
      </c>
      <c r="F140" t="inlineStr">
        <is>
          <t>Lâmina do Redemoinho</t>
        </is>
      </c>
      <c r="G140" s="4">
        <f>INDEX('Peça 1'!F:F,MATCH(D140,'Peça 1'!A:A,0))&amp;""</f>
        <v/>
      </c>
      <c r="H140" s="4">
        <f>IF(AND(INDEX('Nomes-base'!B:B,MATCH(F140,'Nomes-base'!A:A,0))="f",INDEX('Peça 2'!G:G,MATCH(E140,'Peça 2'!A:A,0))&amp;""&lt;&gt;""),INDEX('Peça 2'!G:G,MATCH(E140,'Peça 2'!A:A,0))&amp;"",INDEX('Peça 2'!F:F,MATCH(E140,'Peça 2'!A:A,0))&amp;"")</f>
        <v/>
      </c>
      <c r="I140" s="4">
        <f>IF(OR(H140="",ISNUMBER(SEARCH(" ",H140)),INDEX('Nomes-base'!C:C,MATCH(F140,'Nomes-base'!A:A,0))&lt;&gt;"p"),H140,IF(RIGHT(H140,1)="s",H140,IF(RIGHT(H140,1)="l",LEFT(H140,LEN(H140)-1)&amp;"is",IF(OR(RIGHT(H140,1)="r",RIGHT(H140,1)="z"),H140&amp;"es",IF(RIGHT(H140,1)="m",LEFT(H140,LEN(H140)-1)&amp;"ns",H140&amp;"s")))))</f>
        <v/>
      </c>
    </row>
    <row r="141">
      <c r="A141" s="3">
        <f>IF(OR(G141="",I141=""),"(falta traduzir)",F141&amp;" "&amp;I141&amp;" "&amp;G141)</f>
        <v/>
      </c>
      <c r="B141" t="inlineStr">
        <is>
          <t>念绝落雷阵</t>
        </is>
      </c>
      <c r="C141" t="inlineStr">
        <is>
          <t>Piner's Ending Lightning Crash</t>
        </is>
      </c>
      <c r="D141" t="n">
        <v>107</v>
      </c>
      <c r="E141" t="n">
        <v>339</v>
      </c>
      <c r="F141" t="inlineStr">
        <is>
          <t>Colapso do Relâmpago</t>
        </is>
      </c>
      <c r="G141" s="4">
        <f>INDEX('Peça 1'!F:F,MATCH(D141,'Peça 1'!A:A,0))&amp;""</f>
        <v/>
      </c>
      <c r="H141" s="4">
        <f>IF(AND(INDEX('Nomes-base'!B:B,MATCH(F141,'Nomes-base'!A:A,0))="f",INDEX('Peça 2'!G:G,MATCH(E141,'Peça 2'!A:A,0))&amp;""&lt;&gt;""),INDEX('Peça 2'!G:G,MATCH(E141,'Peça 2'!A:A,0))&amp;"",INDEX('Peça 2'!F:F,MATCH(E141,'Peça 2'!A:A,0))&amp;"")</f>
        <v/>
      </c>
      <c r="I141" s="4">
        <f>IF(OR(H141="",ISNUMBER(SEARCH(" ",H141)),INDEX('Nomes-base'!C:C,MATCH(F141,'Nomes-base'!A:A,0))&lt;&gt;"p"),H141,IF(RIGHT(H141,1)="s",H141,IF(RIGHT(H141,1)="l",LEFT(H141,LEN(H141)-1)&amp;"is",IF(OR(RIGHT(H141,1)="r",RIGHT(H141,1)="z"),H141&amp;"es",IF(RIGHT(H141,1)="m",LEFT(H141,LEN(H141)-1)&amp;"ns",H141&amp;"s")))))</f>
        <v/>
      </c>
    </row>
    <row r="142">
      <c r="A142" s="3">
        <f>IF(OR(G142="",I142=""),"(falta traduzir)",F142&amp;" "&amp;I142&amp;" "&amp;G142)</f>
        <v/>
      </c>
      <c r="B142" t="inlineStr">
        <is>
          <t>遮神大法</t>
        </is>
      </c>
      <c r="C142" t="inlineStr">
        <is>
          <t>Blocker's Spirited Mastery</t>
        </is>
      </c>
      <c r="D142" t="n">
        <v>108</v>
      </c>
      <c r="E142" t="n">
        <v>212</v>
      </c>
      <c r="F142" t="inlineStr">
        <is>
          <t>Mestria</t>
        </is>
      </c>
      <c r="G142" s="4">
        <f>INDEX('Peça 1'!F:F,MATCH(D142,'Peça 1'!A:A,0))&amp;""</f>
        <v/>
      </c>
      <c r="H142" s="4">
        <f>IF(AND(INDEX('Nomes-base'!B:B,MATCH(F142,'Nomes-base'!A:A,0))="f",INDEX('Peça 2'!G:G,MATCH(E142,'Peça 2'!A:A,0))&amp;""&lt;&gt;""),INDEX('Peça 2'!G:G,MATCH(E142,'Peça 2'!A:A,0))&amp;"",INDEX('Peça 2'!F:F,MATCH(E142,'Peça 2'!A:A,0))&amp;"")</f>
        <v/>
      </c>
      <c r="I142" s="4">
        <f>IF(OR(H142="",ISNUMBER(SEARCH(" ",H142)),INDEX('Nomes-base'!C:C,MATCH(F142,'Nomes-base'!A:A,0))&lt;&gt;"p"),H142,IF(RIGHT(H142,1)="s",H142,IF(RIGHT(H142,1)="l",LEFT(H142,LEN(H142)-1)&amp;"is",IF(OR(RIGHT(H142,1)="r",RIGHT(H142,1)="z"),H142&amp;"es",IF(RIGHT(H142,1)="m",LEFT(H142,LEN(H142)-1)&amp;"ns",H142&amp;"s")))))</f>
        <v/>
      </c>
    </row>
    <row r="143">
      <c r="A143" s="3">
        <f>IF(OR(G143="",I143=""),"(falta traduzir)",F143&amp;" "&amp;I143&amp;" "&amp;G143)</f>
        <v/>
      </c>
      <c r="B143" t="inlineStr">
        <is>
          <t>远界突</t>
        </is>
      </c>
      <c r="C143" t="inlineStr">
        <is>
          <t>Foreigner's Global Dash</t>
        </is>
      </c>
      <c r="D143" t="n">
        <v>109</v>
      </c>
      <c r="E143" t="n">
        <v>285</v>
      </c>
      <c r="F143" t="inlineStr">
        <is>
          <t>Arrancada</t>
        </is>
      </c>
      <c r="G143" s="4">
        <f>INDEX('Peça 1'!F:F,MATCH(D143,'Peça 1'!A:A,0))&amp;""</f>
        <v/>
      </c>
      <c r="H143" s="4">
        <f>IF(AND(INDEX('Nomes-base'!B:B,MATCH(F143,'Nomes-base'!A:A,0))="f",INDEX('Peça 2'!G:G,MATCH(E143,'Peça 2'!A:A,0))&amp;""&lt;&gt;""),INDEX('Peça 2'!G:G,MATCH(E143,'Peça 2'!A:A,0))&amp;"",INDEX('Peça 2'!F:F,MATCH(E143,'Peça 2'!A:A,0))&amp;"")</f>
        <v/>
      </c>
      <c r="I143" s="4">
        <f>IF(OR(H143="",ISNUMBER(SEARCH(" ",H143)),INDEX('Nomes-base'!C:C,MATCH(F143,'Nomes-base'!A:A,0))&lt;&gt;"p"),H143,IF(RIGHT(H143,1)="s",H143,IF(RIGHT(H143,1)="l",LEFT(H143,LEN(H143)-1)&amp;"is",IF(OR(RIGHT(H143,1)="r",RIGHT(H143,1)="z"),H143&amp;"es",IF(RIGHT(H143,1)="m",LEFT(H143,LEN(H143)-1)&amp;"ns",H143&amp;"s")))))</f>
        <v/>
      </c>
    </row>
    <row r="144">
      <c r="A144" s="3">
        <f>IF(OR(G144="",I144=""),"(falta traduzir)",F144&amp;" "&amp;I144&amp;" "&amp;G144)</f>
        <v/>
      </c>
      <c r="B144" t="inlineStr">
        <is>
          <t>陨夕冰天眼</t>
        </is>
      </c>
      <c r="C144" t="inlineStr">
        <is>
          <t>Dead's Dusk Heavenly Icy Eye</t>
        </is>
      </c>
      <c r="D144" t="n">
        <v>110</v>
      </c>
      <c r="E144" t="n">
        <v>358</v>
      </c>
      <c r="F144" t="inlineStr">
        <is>
          <t>Olhar Gélido Celestial</t>
        </is>
      </c>
      <c r="G144" s="4">
        <f>INDEX('Peça 1'!F:F,MATCH(D144,'Peça 1'!A:A,0))&amp;""</f>
        <v/>
      </c>
      <c r="H144" s="4">
        <f>IF(AND(INDEX('Nomes-base'!B:B,MATCH(F144,'Nomes-base'!A:A,0))="f",INDEX('Peça 2'!G:G,MATCH(E144,'Peça 2'!A:A,0))&amp;""&lt;&gt;""),INDEX('Peça 2'!G:G,MATCH(E144,'Peça 2'!A:A,0))&amp;"",INDEX('Peça 2'!F:F,MATCH(E144,'Peça 2'!A:A,0))&amp;"")</f>
        <v/>
      </c>
      <c r="I144" s="4">
        <f>IF(OR(H144="",ISNUMBER(SEARCH(" ",H144)),INDEX('Nomes-base'!C:C,MATCH(F144,'Nomes-base'!A:A,0))&lt;&gt;"p"),H144,IF(RIGHT(H144,1)="s",H144,IF(RIGHT(H144,1)="l",LEFT(H144,LEN(H144)-1)&amp;"is",IF(OR(RIGHT(H144,1)="r",RIGHT(H144,1)="z"),H144&amp;"es",IF(RIGHT(H144,1)="m",LEFT(H144,LEN(H144)-1)&amp;"ns",H144&amp;"s")))))</f>
        <v/>
      </c>
    </row>
    <row r="145">
      <c r="A145" s="3">
        <f>IF(OR(G145="",I145=""),"(falta traduzir)",F145&amp;" "&amp;I145&amp;" "&amp;G145)</f>
        <v/>
      </c>
      <c r="B145" t="inlineStr">
        <is>
          <t>冲梦隐</t>
        </is>
      </c>
      <c r="C145" t="inlineStr">
        <is>
          <t>Rusher's Dreamy Stealth</t>
        </is>
      </c>
      <c r="D145" t="n">
        <v>111</v>
      </c>
      <c r="E145" t="n">
        <v>231</v>
      </c>
      <c r="F145" t="inlineStr">
        <is>
          <t>Furtividade</t>
        </is>
      </c>
      <c r="G145" s="4">
        <f>INDEX('Peça 1'!F:F,MATCH(D145,'Peça 1'!A:A,0))&amp;""</f>
        <v/>
      </c>
      <c r="H145" s="4">
        <f>IF(AND(INDEX('Nomes-base'!B:B,MATCH(F145,'Nomes-base'!A:A,0))="f",INDEX('Peça 2'!G:G,MATCH(E145,'Peça 2'!A:A,0))&amp;""&lt;&gt;""),INDEX('Peça 2'!G:G,MATCH(E145,'Peça 2'!A:A,0))&amp;"",INDEX('Peça 2'!F:F,MATCH(E145,'Peça 2'!A:A,0))&amp;"")</f>
        <v/>
      </c>
      <c r="I145" s="4">
        <f>IF(OR(H145="",ISNUMBER(SEARCH(" ",H145)),INDEX('Nomes-base'!C:C,MATCH(F145,'Nomes-base'!A:A,0))&lt;&gt;"p"),H145,IF(RIGHT(H145,1)="s",H145,IF(RIGHT(H145,1)="l",LEFT(H145,LEN(H145)-1)&amp;"is",IF(OR(RIGHT(H145,1)="r",RIGHT(H145,1)="z"),H145&amp;"es",IF(RIGHT(H145,1)="m",LEFT(H145,LEN(H145)-1)&amp;"ns",H145&amp;"s")))))</f>
        <v/>
      </c>
    </row>
    <row r="146">
      <c r="A146" s="3">
        <f>IF(OR(G146="",I146=""),"(falta traduzir)",F146&amp;" "&amp;I146&amp;" "&amp;G146)</f>
        <v/>
      </c>
      <c r="B146" t="inlineStr">
        <is>
          <t>奔钟惊虹掌</t>
        </is>
      </c>
      <c r="C146" t="inlineStr">
        <is>
          <t>Runner's Tolling Rainbow Palm</t>
        </is>
      </c>
      <c r="D146" t="n">
        <v>112</v>
      </c>
      <c r="E146" t="n">
        <v>304</v>
      </c>
      <c r="F146" t="inlineStr">
        <is>
          <t>Palma Arco-Íris</t>
        </is>
      </c>
      <c r="G146" s="4">
        <f>INDEX('Peça 1'!F:F,MATCH(D146,'Peça 1'!A:A,0))&amp;""</f>
        <v/>
      </c>
      <c r="H146" s="4">
        <f>IF(AND(INDEX('Nomes-base'!B:B,MATCH(F146,'Nomes-base'!A:A,0))="f",INDEX('Peça 2'!G:G,MATCH(E146,'Peça 2'!A:A,0))&amp;""&lt;&gt;""),INDEX('Peça 2'!G:G,MATCH(E146,'Peça 2'!A:A,0))&amp;"",INDEX('Peça 2'!F:F,MATCH(E146,'Peça 2'!A:A,0))&amp;"")</f>
        <v/>
      </c>
      <c r="I146" s="4">
        <f>IF(OR(H146="",ISNUMBER(SEARCH(" ",H146)),INDEX('Nomes-base'!C:C,MATCH(F146,'Nomes-base'!A:A,0))&lt;&gt;"p"),H146,IF(RIGHT(H146,1)="s",H146,IF(RIGHT(H146,1)="l",LEFT(H146,LEN(H146)-1)&amp;"is",IF(OR(RIGHT(H146,1)="r",RIGHT(H146,1)="z"),H146&amp;"es",IF(RIGHT(H146,1)="m",LEFT(H146,LEN(H146)-1)&amp;"ns",H146&amp;"s")))))</f>
        <v/>
      </c>
    </row>
    <row r="147">
      <c r="A147" s="3">
        <f>IF(OR(G147="",I147=""),"(falta traduzir)",F147&amp;" "&amp;I147&amp;" "&amp;G147)</f>
        <v/>
      </c>
      <c r="B147" t="inlineStr">
        <is>
          <t>烈权裂地拳</t>
        </is>
      </c>
      <c r="C147" t="inlineStr">
        <is>
          <t>Carp's Powerful Seismic Fist</t>
        </is>
      </c>
      <c r="D147" t="n">
        <v>113</v>
      </c>
      <c r="E147" t="n">
        <v>377</v>
      </c>
      <c r="F147" t="inlineStr">
        <is>
          <t>Punho Sísmico</t>
        </is>
      </c>
      <c r="G147" s="4">
        <f>INDEX('Peça 1'!F:F,MATCH(D147,'Peça 1'!A:A,0))&amp;""</f>
        <v/>
      </c>
      <c r="H147" s="4">
        <f>IF(AND(INDEX('Nomes-base'!B:B,MATCH(F147,'Nomes-base'!A:A,0))="f",INDEX('Peça 2'!G:G,MATCH(E147,'Peça 2'!A:A,0))&amp;""&lt;&gt;""),INDEX('Peça 2'!G:G,MATCH(E147,'Peça 2'!A:A,0))&amp;"",INDEX('Peça 2'!F:F,MATCH(E147,'Peça 2'!A:A,0))&amp;"")</f>
        <v/>
      </c>
      <c r="I147" s="4">
        <f>IF(OR(H147="",ISNUMBER(SEARCH(" ",H147)),INDEX('Nomes-base'!C:C,MATCH(F147,'Nomes-base'!A:A,0))&lt;&gt;"p"),H147,IF(RIGHT(H147,1)="s",H147,IF(RIGHT(H147,1)="l",LEFT(H147,LEN(H147)-1)&amp;"is",IF(OR(RIGHT(H147,1)="r",RIGHT(H147,1)="z"),H147&amp;"es",IF(RIGHT(H147,1)="m",LEFT(H147,LEN(H147)-1)&amp;"ns",H147&amp;"s")))))</f>
        <v/>
      </c>
    </row>
    <row r="148">
      <c r="A148" s="3">
        <f>IF(OR(G148="",I148=""),"(falta traduzir)",F148&amp;" "&amp;I148&amp;" "&amp;G148)</f>
        <v/>
      </c>
      <c r="B148" t="inlineStr">
        <is>
          <t>半岳卷</t>
        </is>
      </c>
      <c r="C148" t="inlineStr">
        <is>
          <t>Wind's High Tornado</t>
        </is>
      </c>
      <c r="D148" t="n">
        <v>114</v>
      </c>
      <c r="E148" t="n">
        <v>250</v>
      </c>
      <c r="F148" t="inlineStr">
        <is>
          <t>Tornado</t>
        </is>
      </c>
      <c r="G148" s="4">
        <f>INDEX('Peça 1'!F:F,MATCH(D148,'Peça 1'!A:A,0))&amp;""</f>
        <v/>
      </c>
      <c r="H148" s="4">
        <f>IF(AND(INDEX('Nomes-base'!B:B,MATCH(F148,'Nomes-base'!A:A,0))="f",INDEX('Peça 2'!G:G,MATCH(E148,'Peça 2'!A:A,0))&amp;""&lt;&gt;""),INDEX('Peça 2'!G:G,MATCH(E148,'Peça 2'!A:A,0))&amp;"",INDEX('Peça 2'!F:F,MATCH(E148,'Peça 2'!A:A,0))&amp;"")</f>
        <v/>
      </c>
      <c r="I148" s="4">
        <f>IF(OR(H148="",ISNUMBER(SEARCH(" ",H148)),INDEX('Nomes-base'!C:C,MATCH(F148,'Nomes-base'!A:A,0))&lt;&gt;"p"),H148,IF(RIGHT(H148,1)="s",H148,IF(RIGHT(H148,1)="l",LEFT(H148,LEN(H148)-1)&amp;"is",IF(OR(RIGHT(H148,1)="r",RIGHT(H148,1)="z"),H148&amp;"es",IF(RIGHT(H148,1)="m",LEFT(H148,LEN(H148)-1)&amp;"ns",H148&amp;"s")))))</f>
        <v/>
      </c>
    </row>
    <row r="149">
      <c r="A149" s="3">
        <f>IF(OR(G149="",I149=""),"(falta traduzir)",F149&amp;" "&amp;I149&amp;" "&amp;G149)</f>
        <v/>
      </c>
      <c r="B149" t="inlineStr">
        <is>
          <t>重霞水灵术</t>
        </is>
      </c>
      <c r="C149" t="inlineStr">
        <is>
          <t>Earth's Hazy Spiritual Water</t>
        </is>
      </c>
      <c r="D149" t="n">
        <v>115</v>
      </c>
      <c r="E149" t="n">
        <v>323</v>
      </c>
      <c r="F149" t="inlineStr">
        <is>
          <t>Água Espiritual</t>
        </is>
      </c>
      <c r="G149" s="4">
        <f>INDEX('Peça 1'!F:F,MATCH(D149,'Peça 1'!A:A,0))&amp;""</f>
        <v/>
      </c>
      <c r="H149" s="4">
        <f>IF(AND(INDEX('Nomes-base'!B:B,MATCH(F149,'Nomes-base'!A:A,0))="f",INDEX('Peça 2'!G:G,MATCH(E149,'Peça 2'!A:A,0))&amp;""&lt;&gt;""),INDEX('Peça 2'!G:G,MATCH(E149,'Peça 2'!A:A,0))&amp;"",INDEX('Peça 2'!F:F,MATCH(E149,'Peça 2'!A:A,0))&amp;"")</f>
        <v/>
      </c>
      <c r="I149" s="4">
        <f>IF(OR(H149="",ISNUMBER(SEARCH(" ",H149)),INDEX('Nomes-base'!C:C,MATCH(F149,'Nomes-base'!A:A,0))&lt;&gt;"p"),H149,IF(RIGHT(H149,1)="s",H149,IF(RIGHT(H149,1)="l",LEFT(H149,LEN(H149)-1)&amp;"is",IF(OR(RIGHT(H149,1)="r",RIGHT(H149,1)="z"),H149&amp;"es",IF(RIGHT(H149,1)="m",LEFT(H149,LEN(H149)-1)&amp;"ns",H149&amp;"s")))))</f>
        <v/>
      </c>
    </row>
    <row r="150">
      <c r="A150" s="3">
        <f>IF(OR(G150="",I150=""),"(falta traduzir)",F150&amp;" "&amp;I150&amp;" "&amp;G150)</f>
        <v/>
      </c>
      <c r="B150" t="inlineStr">
        <is>
          <t>太潇诀</t>
        </is>
      </c>
      <c r="C150" t="inlineStr">
        <is>
          <t>Metal's Hailing Guide</t>
        </is>
      </c>
      <c r="D150" t="n">
        <v>116</v>
      </c>
      <c r="E150" t="n">
        <v>396</v>
      </c>
      <c r="F150" t="inlineStr">
        <is>
          <t>Guia</t>
        </is>
      </c>
      <c r="G150" s="4">
        <f>INDEX('Peça 1'!F:F,MATCH(D150,'Peça 1'!A:A,0))&amp;""</f>
        <v/>
      </c>
      <c r="H150" s="4">
        <f>IF(AND(INDEX('Nomes-base'!B:B,MATCH(F150,'Nomes-base'!A:A,0))="f",INDEX('Peça 2'!G:G,MATCH(E150,'Peça 2'!A:A,0))&amp;""&lt;&gt;""),INDEX('Peça 2'!G:G,MATCH(E150,'Peça 2'!A:A,0))&amp;"",INDEX('Peça 2'!F:F,MATCH(E150,'Peça 2'!A:A,0))&amp;"")</f>
        <v/>
      </c>
      <c r="I150" s="4">
        <f>IF(OR(H150="",ISNUMBER(SEARCH(" ",H150)),INDEX('Nomes-base'!C:C,MATCH(F150,'Nomes-base'!A:A,0))&lt;&gt;"p"),H150,IF(RIGHT(H150,1)="s",H150,IF(RIGHT(H150,1)="l",LEFT(H150,LEN(H150)-1)&amp;"is",IF(OR(RIGHT(H150,1)="r",RIGHT(H150,1)="z"),H150&amp;"es",IF(RIGHT(H150,1)="m",LEFT(H150,LEN(H150)-1)&amp;"ns",H150&amp;"s")))))</f>
        <v/>
      </c>
    </row>
    <row r="151">
      <c r="A151" s="3">
        <f>IF(OR(G151="",I151=""),"(falta traduzir)",F151&amp;" "&amp;I151&amp;" "&amp;G151)</f>
        <v/>
      </c>
      <c r="B151" t="inlineStr">
        <is>
          <t>弥灭落石术</t>
        </is>
      </c>
      <c r="C151" t="inlineStr">
        <is>
          <t>Fire's Deathly Falling Rock</t>
        </is>
      </c>
      <c r="D151" t="n">
        <v>117</v>
      </c>
      <c r="E151" t="n">
        <v>269</v>
      </c>
      <c r="F151" t="inlineStr">
        <is>
          <t>Queda de Rochas</t>
        </is>
      </c>
      <c r="G151" s="4">
        <f>INDEX('Peça 1'!F:F,MATCH(D151,'Peça 1'!A:A,0))&amp;""</f>
        <v/>
      </c>
      <c r="H151" s="4">
        <f>IF(AND(INDEX('Nomes-base'!B:B,MATCH(F151,'Nomes-base'!A:A,0))="f",INDEX('Peça 2'!G:G,MATCH(E151,'Peça 2'!A:A,0))&amp;""&lt;&gt;""),INDEX('Peça 2'!G:G,MATCH(E151,'Peça 2'!A:A,0))&amp;"",INDEX('Peça 2'!F:F,MATCH(E151,'Peça 2'!A:A,0))&amp;"")</f>
        <v/>
      </c>
      <c r="I151" s="4">
        <f>IF(OR(H151="",ISNUMBER(SEARCH(" ",H151)),INDEX('Nomes-base'!C:C,MATCH(F151,'Nomes-base'!A:A,0))&lt;&gt;"p"),H151,IF(RIGHT(H151,1)="s",H151,IF(RIGHT(H151,1)="l",LEFT(H151,LEN(H151)-1)&amp;"is",IF(OR(RIGHT(H151,1)="r",RIGHT(H151,1)="z"),H151&amp;"es",IF(RIGHT(H151,1)="m",LEFT(H151,LEN(H151)-1)&amp;"ns",H151&amp;"s")))))</f>
        <v/>
      </c>
    </row>
    <row r="152">
      <c r="A152" s="3">
        <f>IF(OR(G152="",I152=""),"(falta traduzir)",F152&amp;" "&amp;I152&amp;" "&amp;G152)</f>
        <v/>
      </c>
      <c r="B152" t="inlineStr">
        <is>
          <t>漫宫疾龙破</t>
        </is>
      </c>
      <c r="C152" t="inlineStr">
        <is>
          <t>Water's Palatial Sprinting Dragon Rising</t>
        </is>
      </c>
      <c r="D152" t="n">
        <v>118</v>
      </c>
      <c r="E152" t="n">
        <v>342</v>
      </c>
      <c r="F152" t="inlineStr">
        <is>
          <t>Ascensão do Dragão Veloz</t>
        </is>
      </c>
      <c r="G152" s="4">
        <f>INDEX('Peça 1'!F:F,MATCH(D152,'Peça 1'!A:A,0))&amp;""</f>
        <v/>
      </c>
      <c r="H152" s="4">
        <f>IF(AND(INDEX('Nomes-base'!B:B,MATCH(F152,'Nomes-base'!A:A,0))="f",INDEX('Peça 2'!G:G,MATCH(E152,'Peça 2'!A:A,0))&amp;""&lt;&gt;""),INDEX('Peça 2'!G:G,MATCH(E152,'Peça 2'!A:A,0))&amp;"",INDEX('Peça 2'!F:F,MATCH(E152,'Peça 2'!A:A,0))&amp;"")</f>
        <v/>
      </c>
      <c r="I152" s="4">
        <f>IF(OR(H152="",ISNUMBER(SEARCH(" ",H152)),INDEX('Nomes-base'!C:C,MATCH(F152,'Nomes-base'!A:A,0))&lt;&gt;"p"),H152,IF(RIGHT(H152,1)="s",H152,IF(RIGHT(H152,1)="l",LEFT(H152,LEN(H152)-1)&amp;"is",IF(OR(RIGHT(H152,1)="r",RIGHT(H152,1)="z"),H152&amp;"es",IF(RIGHT(H152,1)="m",LEFT(H152,LEN(H152)-1)&amp;"ns",H152&amp;"s")))))</f>
        <v/>
      </c>
    </row>
    <row r="153">
      <c r="A153" s="3">
        <f>IF(OR(G153="",I153=""),"(falta traduzir)",F153&amp;" "&amp;I153&amp;" "&amp;G153)</f>
        <v/>
      </c>
      <c r="B153" t="inlineStr">
        <is>
          <t>诛日跃</t>
        </is>
      </c>
      <c r="C153" t="inlineStr">
        <is>
          <t>Essence's Sunny Leap</t>
        </is>
      </c>
      <c r="D153" t="n">
        <v>119</v>
      </c>
      <c r="E153" t="n">
        <v>215</v>
      </c>
      <c r="F153" t="inlineStr">
        <is>
          <t>Salto</t>
        </is>
      </c>
      <c r="G153" s="4">
        <f>INDEX('Peça 1'!F:F,MATCH(D153,'Peça 1'!A:A,0))&amp;""</f>
        <v/>
      </c>
      <c r="H153" s="4">
        <f>IF(AND(INDEX('Nomes-base'!B:B,MATCH(F153,'Nomes-base'!A:A,0))="f",INDEX('Peça 2'!G:G,MATCH(E153,'Peça 2'!A:A,0))&amp;""&lt;&gt;""),INDEX('Peça 2'!G:G,MATCH(E153,'Peça 2'!A:A,0))&amp;"",INDEX('Peça 2'!F:F,MATCH(E153,'Peça 2'!A:A,0))&amp;"")</f>
        <v/>
      </c>
      <c r="I153" s="4">
        <f>IF(OR(H153="",ISNUMBER(SEARCH(" ",H153)),INDEX('Nomes-base'!C:C,MATCH(F153,'Nomes-base'!A:A,0))&lt;&gt;"p"),H153,IF(RIGHT(H153,1)="s",H153,IF(RIGHT(H153,1)="l",LEFT(H153,LEN(H153)-1)&amp;"is",IF(OR(RIGHT(H153,1)="r",RIGHT(H153,1)="z"),H153&amp;"es",IF(RIGHT(H153,1)="m",LEFT(H153,LEN(H153)-1)&amp;"ns",H153&amp;"s")))))</f>
        <v/>
      </c>
    </row>
    <row r="154">
      <c r="A154" s="3">
        <f>IF(OR(G154="",I154=""),"(falta traduzir)",F154&amp;" "&amp;I154&amp;" "&amp;G154)</f>
        <v/>
      </c>
      <c r="B154" t="inlineStr">
        <is>
          <t>逆涛御术</t>
        </is>
      </c>
      <c r="C154" t="inlineStr">
        <is>
          <t>Pearl's Tidal Drift</t>
        </is>
      </c>
      <c r="D154" t="n">
        <v>120</v>
      </c>
      <c r="E154" t="n">
        <v>288</v>
      </c>
      <c r="F154" t="inlineStr">
        <is>
          <t>Deriva</t>
        </is>
      </c>
      <c r="G154" s="4">
        <f>INDEX('Peça 1'!F:F,MATCH(D154,'Peça 1'!A:A,0))&amp;""</f>
        <v/>
      </c>
      <c r="H154" s="4">
        <f>IF(AND(INDEX('Nomes-base'!B:B,MATCH(F154,'Nomes-base'!A:A,0))="f",INDEX('Peça 2'!G:G,MATCH(E154,'Peça 2'!A:A,0))&amp;""&lt;&gt;""),INDEX('Peça 2'!G:G,MATCH(E154,'Peça 2'!A:A,0))&amp;"",INDEX('Peça 2'!F:F,MATCH(E154,'Peça 2'!A:A,0))&amp;"")</f>
        <v/>
      </c>
      <c r="I154" s="4">
        <f>IF(OR(H154="",ISNUMBER(SEARCH(" ",H154)),INDEX('Nomes-base'!C:C,MATCH(F154,'Nomes-base'!A:A,0))&lt;&gt;"p"),H154,IF(RIGHT(H154,1)="s",H154,IF(RIGHT(H154,1)="l",LEFT(H154,LEN(H154)-1)&amp;"is",IF(OR(RIGHT(H154,1)="r",RIGHT(H154,1)="z"),H154&amp;"es",IF(RIGHT(H154,1)="m",LEFT(H154,LEN(H154)-1)&amp;"ns",H154&amp;"s")))))</f>
        <v/>
      </c>
    </row>
    <row r="155">
      <c r="A155" s="3">
        <f>IF(OR(G155="",I155=""),"(falta traduzir)",F155&amp;" "&amp;I155&amp;" "&amp;G155)</f>
        <v/>
      </c>
      <c r="B155" t="inlineStr">
        <is>
          <t>劈意经</t>
        </is>
      </c>
      <c r="C155" t="inlineStr">
        <is>
          <t>Wrath's Willful Sutra</t>
        </is>
      </c>
      <c r="D155" t="n">
        <v>121</v>
      </c>
      <c r="E155" t="n">
        <v>361</v>
      </c>
      <c r="F155" t="inlineStr">
        <is>
          <t>Sutra</t>
        </is>
      </c>
      <c r="G155" s="4">
        <f>INDEX('Peça 1'!F:F,MATCH(D155,'Peça 1'!A:A,0))&amp;""</f>
        <v/>
      </c>
      <c r="H155" s="4">
        <f>IF(AND(INDEX('Nomes-base'!B:B,MATCH(F155,'Nomes-base'!A:A,0))="f",INDEX('Peça 2'!G:G,MATCH(E155,'Peça 2'!A:A,0))&amp;""&lt;&gt;""),INDEX('Peça 2'!G:G,MATCH(E155,'Peça 2'!A:A,0))&amp;"",INDEX('Peça 2'!F:F,MATCH(E155,'Peça 2'!A:A,0))&amp;"")</f>
        <v/>
      </c>
      <c r="I155" s="4">
        <f>IF(OR(H155="",ISNUMBER(SEARCH(" ",H155)),INDEX('Nomes-base'!C:C,MATCH(F155,'Nomes-base'!A:A,0))&lt;&gt;"p"),H155,IF(RIGHT(H155,1)="s",H155,IF(RIGHT(H155,1)="l",LEFT(H155,LEN(H155)-1)&amp;"is",IF(OR(RIGHT(H155,1)="r",RIGHT(H155,1)="z"),H155&amp;"es",IF(RIGHT(H155,1)="m",LEFT(H155,LEN(H155)-1)&amp;"ns",H155&amp;"s")))))</f>
        <v/>
      </c>
    </row>
    <row r="156">
      <c r="A156" s="3">
        <f>IF(OR(G156="",I156=""),"(falta traduzir)",F156&amp;" "&amp;I156&amp;" "&amp;G156)</f>
        <v/>
      </c>
      <c r="B156" t="inlineStr">
        <is>
          <t>卷域贯龙枪</t>
        </is>
      </c>
      <c r="C156" t="inlineStr">
        <is>
          <t>Envy's Worldly Splitting Dragon Spear</t>
        </is>
      </c>
      <c r="D156" t="n">
        <v>122</v>
      </c>
      <c r="E156" t="n">
        <v>234</v>
      </c>
      <c r="F156" t="inlineStr">
        <is>
          <t>Lança do Dragão Fendente</t>
        </is>
      </c>
      <c r="G156" s="4">
        <f>INDEX('Peça 1'!F:F,MATCH(D156,'Peça 1'!A:A,0))&amp;""</f>
        <v/>
      </c>
      <c r="H156" s="4">
        <f>IF(AND(INDEX('Nomes-base'!B:B,MATCH(F156,'Nomes-base'!A:A,0))="f",INDEX('Peça 2'!G:G,MATCH(E156,'Peça 2'!A:A,0))&amp;""&lt;&gt;""),INDEX('Peça 2'!G:G,MATCH(E156,'Peça 2'!A:A,0))&amp;"",INDEX('Peça 2'!F:F,MATCH(E156,'Peça 2'!A:A,0))&amp;"")</f>
        <v/>
      </c>
      <c r="I156" s="4">
        <f>IF(OR(H156="",ISNUMBER(SEARCH(" ",H156)),INDEX('Nomes-base'!C:C,MATCH(F156,'Nomes-base'!A:A,0))&lt;&gt;"p"),H156,IF(RIGHT(H156,1)="s",H156,IF(RIGHT(H156,1)="l",LEFT(H156,LEN(H156)-1)&amp;"is",IF(OR(RIGHT(H156,1)="r",RIGHT(H156,1)="z"),H156&amp;"es",IF(RIGHT(H156,1)="m",LEFT(H156,LEN(H156)-1)&amp;"ns",H156&amp;"s")))))</f>
        <v/>
      </c>
    </row>
    <row r="157">
      <c r="A157" s="3">
        <f>IF(OR(G157="",I157=""),"(falta traduzir)",F157&amp;" "&amp;I157&amp;" "&amp;G157)</f>
        <v/>
      </c>
      <c r="B157" t="inlineStr">
        <is>
          <t>荡妖毒沼术</t>
        </is>
      </c>
      <c r="C157" t="inlineStr">
        <is>
          <t>Lust's Daemonic Poisonous Marsh</t>
        </is>
      </c>
      <c r="D157" t="n">
        <v>123</v>
      </c>
      <c r="E157" t="n">
        <v>307</v>
      </c>
      <c r="F157" t="inlineStr">
        <is>
          <t>Pântano Venenoso</t>
        </is>
      </c>
      <c r="G157" s="4">
        <f>INDEX('Peça 1'!F:F,MATCH(D157,'Peça 1'!A:A,0))&amp;""</f>
        <v/>
      </c>
      <c r="H157" s="4">
        <f>IF(AND(INDEX('Nomes-base'!B:B,MATCH(F157,'Nomes-base'!A:A,0))="f",INDEX('Peça 2'!G:G,MATCH(E157,'Peça 2'!A:A,0))&amp;""&lt;&gt;""),INDEX('Peça 2'!G:G,MATCH(E157,'Peça 2'!A:A,0))&amp;"",INDEX('Peça 2'!F:F,MATCH(E157,'Peça 2'!A:A,0))&amp;"")</f>
        <v/>
      </c>
      <c r="I157" s="4">
        <f>IF(OR(H157="",ISNUMBER(SEARCH(" ",H157)),INDEX('Nomes-base'!C:C,MATCH(F157,'Nomes-base'!A:A,0))&lt;&gt;"p"),H157,IF(RIGHT(H157,1)="s",H157,IF(RIGHT(H157,1)="l",LEFT(H157,LEN(H157)-1)&amp;"is",IF(OR(RIGHT(H157,1)="r",RIGHT(H157,1)="z"),H157&amp;"es",IF(RIGHT(H157,1)="m",LEFT(H157,LEN(H157)-1)&amp;"ns",H157&amp;"s")))))</f>
        <v/>
      </c>
    </row>
    <row r="158">
      <c r="A158" s="3">
        <f>IF(OR(G158="",I158=""),"(falta traduzir)",F158&amp;" "&amp;I158&amp;" "&amp;G158)</f>
        <v/>
      </c>
      <c r="B158" t="inlineStr">
        <is>
          <t>横垢怒血斩</t>
        </is>
      </c>
      <c r="C158" t="inlineStr">
        <is>
          <t>Greed's Tainted Furyblood Cleave</t>
        </is>
      </c>
      <c r="D158" t="n">
        <v>124</v>
      </c>
      <c r="E158" t="n">
        <v>380</v>
      </c>
      <c r="F158" t="inlineStr">
        <is>
          <t>Corte do Sangue Furioso</t>
        </is>
      </c>
      <c r="G158" s="4">
        <f>INDEX('Peça 1'!F:F,MATCH(D158,'Peça 1'!A:A,0))&amp;""</f>
        <v/>
      </c>
      <c r="H158" s="4">
        <f>IF(AND(INDEX('Nomes-base'!B:B,MATCH(F158,'Nomes-base'!A:A,0))="f",INDEX('Peça 2'!G:G,MATCH(E158,'Peça 2'!A:A,0))&amp;""&lt;&gt;""),INDEX('Peça 2'!G:G,MATCH(E158,'Peça 2'!A:A,0))&amp;"",INDEX('Peça 2'!F:F,MATCH(E158,'Peça 2'!A:A,0))&amp;"")</f>
        <v/>
      </c>
      <c r="I158" s="4">
        <f>IF(OR(H158="",ISNUMBER(SEARCH(" ",H158)),INDEX('Nomes-base'!C:C,MATCH(F158,'Nomes-base'!A:A,0))&lt;&gt;"p"),H158,IF(RIGHT(H158,1)="s",H158,IF(RIGHT(H158,1)="l",LEFT(H158,LEN(H158)-1)&amp;"is",IF(OR(RIGHT(H158,1)="r",RIGHT(H158,1)="z"),H158&amp;"es",IF(RIGHT(H158,1)="m",LEFT(H158,LEN(H158)-1)&amp;"ns",H158&amp;"s")))))</f>
        <v/>
      </c>
    </row>
    <row r="159">
      <c r="A159" s="3">
        <f>IF(OR(G159="",I159=""),"(falta traduzir)",F159&amp;" "&amp;I159&amp;" "&amp;G159)</f>
        <v/>
      </c>
      <c r="B159" t="inlineStr">
        <is>
          <t>柔衡遁</t>
        </is>
      </c>
      <c r="C159" t="inlineStr">
        <is>
          <t>Pride's Balanced Burrow</t>
        </is>
      </c>
      <c r="D159" t="n">
        <v>125</v>
      </c>
      <c r="E159" t="n">
        <v>253</v>
      </c>
      <c r="F159" t="inlineStr">
        <is>
          <t>Escavação</t>
        </is>
      </c>
      <c r="G159" s="4">
        <f>INDEX('Peça 1'!F:F,MATCH(D159,'Peça 1'!A:A,0))&amp;""</f>
        <v/>
      </c>
      <c r="H159" s="4">
        <f>IF(AND(INDEX('Nomes-base'!B:B,MATCH(F159,'Nomes-base'!A:A,0))="f",INDEX('Peça 2'!G:G,MATCH(E159,'Peça 2'!A:A,0))&amp;""&lt;&gt;""),INDEX('Peça 2'!G:G,MATCH(E159,'Peça 2'!A:A,0))&amp;"",INDEX('Peça 2'!F:F,MATCH(E159,'Peça 2'!A:A,0))&amp;"")</f>
        <v/>
      </c>
      <c r="I159" s="4">
        <f>IF(OR(H159="",ISNUMBER(SEARCH(" ",H159)),INDEX('Nomes-base'!C:C,MATCH(F159,'Nomes-base'!A:A,0))&lt;&gt;"p"),H159,IF(RIGHT(H159,1)="s",H159,IF(RIGHT(H159,1)="l",LEFT(H159,LEN(H159)-1)&amp;"is",IF(OR(RIGHT(H159,1)="r",RIGHT(H159,1)="z"),H159&amp;"es",IF(RIGHT(H159,1)="m",LEFT(H159,LEN(H159)-1)&amp;"ns",H159&amp;"s")))))</f>
        <v/>
      </c>
    </row>
    <row r="160">
      <c r="A160" s="3">
        <f>IF(OR(G160="",I160=""),"(falta traduzir)",F160&amp;" "&amp;I160&amp;" "&amp;G160)</f>
        <v/>
      </c>
      <c r="B160" t="inlineStr">
        <is>
          <t>禅孤影</t>
        </is>
      </c>
      <c r="C160" t="inlineStr">
        <is>
          <t>Gluttony's Lonely Shadow</t>
        </is>
      </c>
      <c r="D160" t="n">
        <v>126</v>
      </c>
      <c r="E160" t="n">
        <v>326</v>
      </c>
      <c r="F160" t="inlineStr">
        <is>
          <t>Sombra</t>
        </is>
      </c>
      <c r="G160" s="4">
        <f>INDEX('Peça 1'!F:F,MATCH(D160,'Peça 1'!A:A,0))&amp;""</f>
        <v/>
      </c>
      <c r="H160" s="4">
        <f>IF(AND(INDEX('Nomes-base'!B:B,MATCH(F160,'Nomes-base'!A:A,0))="f",INDEX('Peça 2'!G:G,MATCH(E160,'Peça 2'!A:A,0))&amp;""&lt;&gt;""),INDEX('Peça 2'!G:G,MATCH(E160,'Peça 2'!A:A,0))&amp;"",INDEX('Peça 2'!F:F,MATCH(E160,'Peça 2'!A:A,0))&amp;"")</f>
        <v/>
      </c>
      <c r="I160" s="4">
        <f>IF(OR(H160="",ISNUMBER(SEARCH(" ",H160)),INDEX('Nomes-base'!C:C,MATCH(F160,'Nomes-base'!A:A,0))&lt;&gt;"p"),H160,IF(RIGHT(H160,1)="s",H160,IF(RIGHT(H160,1)="l",LEFT(H160,LEN(H160)-1)&amp;"is",IF(OR(RIGHT(H160,1)="r",RIGHT(H160,1)="z"),H160&amp;"es",IF(RIGHT(H160,1)="m",LEFT(H160,LEN(H160)-1)&amp;"ns",H160&amp;"s")))))</f>
        <v/>
      </c>
    </row>
    <row r="161">
      <c r="A161" s="3">
        <f>IF(OR(G161="",I161=""),"(falta traduzir)",F161&amp;" "&amp;I161&amp;" "&amp;G161)</f>
        <v/>
      </c>
      <c r="B161" t="inlineStr">
        <is>
          <t>仙北录</t>
        </is>
      </c>
      <c r="C161" t="inlineStr">
        <is>
          <t>Sloth's Eastern Compendium</t>
        </is>
      </c>
      <c r="D161" t="n">
        <v>127</v>
      </c>
      <c r="E161" t="n">
        <v>399</v>
      </c>
      <c r="F161" t="inlineStr">
        <is>
          <t>Compêndio</t>
        </is>
      </c>
      <c r="G161" s="4">
        <f>INDEX('Peça 1'!F:F,MATCH(D161,'Peça 1'!A:A,0))&amp;""</f>
        <v/>
      </c>
      <c r="H161" s="4">
        <f>IF(AND(INDEX('Nomes-base'!B:B,MATCH(F161,'Nomes-base'!A:A,0))="f",INDEX('Peça 2'!G:G,MATCH(E161,'Peça 2'!A:A,0))&amp;""&lt;&gt;""),INDEX('Peça 2'!G:G,MATCH(E161,'Peça 2'!A:A,0))&amp;"",INDEX('Peça 2'!F:F,MATCH(E161,'Peça 2'!A:A,0))&amp;"")</f>
        <v/>
      </c>
      <c r="I161" s="4">
        <f>IF(OR(H161="",ISNUMBER(SEARCH(" ",H161)),INDEX('Nomes-base'!C:C,MATCH(F161,'Nomes-base'!A:A,0))&lt;&gt;"p"),H161,IF(RIGHT(H161,1)="s",H161,IF(RIGHT(H161,1)="l",LEFT(H161,LEN(H161)-1)&amp;"is",IF(OR(RIGHT(H161,1)="r",RIGHT(H161,1)="z"),H161&amp;"es",IF(RIGHT(H161,1)="m",LEFT(H161,LEN(H161)-1)&amp;"ns",H161&amp;"s")))))</f>
        <v/>
      </c>
    </row>
    <row r="162">
      <c r="A162" s="3">
        <f>IF(OR(G162="",I162=""),"(falta traduzir)",F162&amp;" "&amp;I162&amp;" "&amp;G162)</f>
        <v/>
      </c>
      <c r="B162" t="inlineStr">
        <is>
          <t>炙凛雷光术</t>
        </is>
      </c>
      <c r="C162" t="inlineStr">
        <is>
          <t>Prudence's Chilling Voltshot</t>
        </is>
      </c>
      <c r="D162" t="n">
        <v>128</v>
      </c>
      <c r="E162" t="n">
        <v>272</v>
      </c>
      <c r="F162" t="inlineStr">
        <is>
          <t>Disparo Elétrico</t>
        </is>
      </c>
      <c r="G162" s="4">
        <f>INDEX('Peça 1'!F:F,MATCH(D162,'Peça 1'!A:A,0))&amp;""</f>
        <v/>
      </c>
      <c r="H162" s="4">
        <f>IF(AND(INDEX('Nomes-base'!B:B,MATCH(F162,'Nomes-base'!A:A,0))="f",INDEX('Peça 2'!G:G,MATCH(E162,'Peça 2'!A:A,0))&amp;""&lt;&gt;""),INDEX('Peça 2'!G:G,MATCH(E162,'Peça 2'!A:A,0))&amp;"",INDEX('Peça 2'!F:F,MATCH(E162,'Peça 2'!A:A,0))&amp;"")</f>
        <v/>
      </c>
      <c r="I162" s="4">
        <f>IF(OR(H162="",ISNUMBER(SEARCH(" ",H162)),INDEX('Nomes-base'!C:C,MATCH(F162,'Nomes-base'!A:A,0))&lt;&gt;"p"),H162,IF(RIGHT(H162,1)="s",H162,IF(RIGHT(H162,1)="l",LEFT(H162,LEN(H162)-1)&amp;"is",IF(OR(RIGHT(H162,1)="r",RIGHT(H162,1)="z"),H162&amp;"es",IF(RIGHT(H162,1)="m",LEFT(H162,LEN(H162)-1)&amp;"ns",H162&amp;"s")))))</f>
        <v/>
      </c>
    </row>
    <row r="163">
      <c r="A163" s="3">
        <f>IF(OR(G163="",I163=""),"(falta traduzir)",F163&amp;" "&amp;I163&amp;" "&amp;G163)</f>
        <v/>
      </c>
      <c r="B163" t="inlineStr">
        <is>
          <t>狱战霜灵爆</t>
        </is>
      </c>
      <c r="C163" t="inlineStr">
        <is>
          <t>Justice's Warring Frost Spirit Blast</t>
        </is>
      </c>
      <c r="D163" t="n">
        <v>129</v>
      </c>
      <c r="E163" t="n">
        <v>345</v>
      </c>
      <c r="F163" t="inlineStr">
        <is>
          <t>Explosão de Espírito Gélido</t>
        </is>
      </c>
      <c r="G163" s="4">
        <f>INDEX('Peça 1'!F:F,MATCH(D163,'Peça 1'!A:A,0))&amp;""</f>
        <v/>
      </c>
      <c r="H163" s="4">
        <f>IF(AND(INDEX('Nomes-base'!B:B,MATCH(F163,'Nomes-base'!A:A,0))="f",INDEX('Peça 2'!G:G,MATCH(E163,'Peça 2'!A:A,0))&amp;""&lt;&gt;""),INDEX('Peça 2'!G:G,MATCH(E163,'Peça 2'!A:A,0))&amp;"",INDEX('Peça 2'!F:F,MATCH(E163,'Peça 2'!A:A,0))&amp;"")</f>
        <v/>
      </c>
      <c r="I163" s="4">
        <f>IF(OR(H163="",ISNUMBER(SEARCH(" ",H163)),INDEX('Nomes-base'!C:C,MATCH(F163,'Nomes-base'!A:A,0))&lt;&gt;"p"),H163,IF(RIGHT(H163,1)="s",H163,IF(RIGHT(H163,1)="l",LEFT(H163,LEN(H163)-1)&amp;"is",IF(OR(RIGHT(H163,1)="r",RIGHT(H163,1)="z"),H163&amp;"es",IF(RIGHT(H163,1)="m",LEFT(H163,LEN(H163)-1)&amp;"ns",H163&amp;"s")))))</f>
        <v/>
      </c>
    </row>
    <row r="164">
      <c r="A164" s="3">
        <f>IF(OR(G164="",I164=""),"(falta traduzir)",F164&amp;" "&amp;I164&amp;" "&amp;G164)</f>
        <v/>
      </c>
      <c r="B164" t="inlineStr">
        <is>
          <t>灾灵幻</t>
        </is>
      </c>
      <c r="C164" t="inlineStr">
        <is>
          <t>Fortitude's Ethereal Illusion</t>
        </is>
      </c>
      <c r="D164" t="n">
        <v>130</v>
      </c>
      <c r="E164" t="n">
        <v>218</v>
      </c>
      <c r="F164" t="inlineStr">
        <is>
          <t>Ilusão</t>
        </is>
      </c>
      <c r="G164" s="4">
        <f>INDEX('Peça 1'!F:F,MATCH(D164,'Peça 1'!A:A,0))&amp;""</f>
        <v/>
      </c>
      <c r="H164" s="4">
        <f>IF(AND(INDEX('Nomes-base'!B:B,MATCH(F164,'Nomes-base'!A:A,0))="f",INDEX('Peça 2'!G:G,MATCH(E164,'Peça 2'!A:A,0))&amp;""&lt;&gt;""),INDEX('Peça 2'!G:G,MATCH(E164,'Peça 2'!A:A,0))&amp;"",INDEX('Peça 2'!F:F,MATCH(E164,'Peça 2'!A:A,0))&amp;"")</f>
        <v/>
      </c>
      <c r="I164" s="4">
        <f>IF(OR(H164="",ISNUMBER(SEARCH(" ",H164)),INDEX('Nomes-base'!C:C,MATCH(F164,'Nomes-base'!A:A,0))&lt;&gt;"p"),H164,IF(RIGHT(H164,1)="s",H164,IF(RIGHT(H164,1)="l",LEFT(H164,LEN(H164)-1)&amp;"is",IF(OR(RIGHT(H164,1)="r",RIGHT(H164,1)="z"),H164&amp;"es",IF(RIGHT(H164,1)="m",LEFT(H164,LEN(H164)-1)&amp;"ns",H164&amp;"s")))))</f>
        <v/>
      </c>
    </row>
    <row r="165">
      <c r="A165" s="3">
        <f>IF(OR(G165="",I165=""),"(falta traduzir)",F165&amp;" "&amp;I165&amp;" "&amp;G165)</f>
        <v/>
      </c>
      <c r="B165" t="inlineStr">
        <is>
          <t>阴澜冲</t>
        </is>
      </c>
      <c r="C165" t="inlineStr">
        <is>
          <t>Temperance's Rippling Charge</t>
        </is>
      </c>
      <c r="D165" t="n">
        <v>131</v>
      </c>
      <c r="E165" t="n">
        <v>291</v>
      </c>
      <c r="F165" t="inlineStr">
        <is>
          <t>Carga</t>
        </is>
      </c>
      <c r="G165" s="4">
        <f>INDEX('Peça 1'!F:F,MATCH(D165,'Peça 1'!A:A,0))&amp;""</f>
        <v/>
      </c>
      <c r="H165" s="4">
        <f>IF(AND(INDEX('Nomes-base'!B:B,MATCH(F165,'Nomes-base'!A:A,0))="f",INDEX('Peça 2'!G:G,MATCH(E165,'Peça 2'!A:A,0))&amp;""&lt;&gt;""),INDEX('Peça 2'!G:G,MATCH(E165,'Peça 2'!A:A,0))&amp;"",INDEX('Peça 2'!F:F,MATCH(E165,'Peça 2'!A:A,0))&amp;"")</f>
        <v/>
      </c>
      <c r="I165" s="4">
        <f>IF(OR(H165="",ISNUMBER(SEARCH(" ",H165)),INDEX('Nomes-base'!C:C,MATCH(F165,'Nomes-base'!A:A,0))&lt;&gt;"p"),H165,IF(RIGHT(H165,1)="s",H165,IF(RIGHT(H165,1)="l",LEFT(H165,LEN(H165)-1)&amp;"is",IF(OR(RIGHT(H165,1)="r",RIGHT(H165,1)="z"),H165&amp;"es",IF(RIGHT(H165,1)="m",LEFT(H165,LEN(H165)-1)&amp;"ns",H165&amp;"s")))))</f>
        <v/>
      </c>
    </row>
    <row r="166">
      <c r="A166" s="3">
        <f>IF(OR(G166="",I166=""),"(falta traduzir)",F166&amp;" "&amp;I166&amp;" "&amp;G166)</f>
        <v/>
      </c>
      <c r="B166" t="inlineStr">
        <is>
          <t>朔情劲</t>
        </is>
      </c>
      <c r="C166" t="inlineStr">
        <is>
          <t>Chastity's Loving Move</t>
        </is>
      </c>
      <c r="D166" t="n">
        <v>132</v>
      </c>
      <c r="E166" t="n">
        <v>364</v>
      </c>
      <c r="F166" t="inlineStr">
        <is>
          <t>Movimentação</t>
        </is>
      </c>
      <c r="G166" s="4">
        <f>INDEX('Peça 1'!F:F,MATCH(D166,'Peça 1'!A:A,0))&amp;""</f>
        <v/>
      </c>
      <c r="H166" s="4">
        <f>IF(AND(INDEX('Nomes-base'!B:B,MATCH(F166,'Nomes-base'!A:A,0))="f",INDEX('Peça 2'!G:G,MATCH(E166,'Peça 2'!A:A,0))&amp;""&lt;&gt;""),INDEX('Peça 2'!G:G,MATCH(E166,'Peça 2'!A:A,0))&amp;"",INDEX('Peça 2'!F:F,MATCH(E166,'Peça 2'!A:A,0))&amp;"")</f>
        <v/>
      </c>
      <c r="I166" s="4">
        <f>IF(OR(H166="",ISNUMBER(SEARCH(" ",H166)),INDEX('Nomes-base'!C:C,MATCH(F166,'Nomes-base'!A:A,0))&lt;&gt;"p"),H166,IF(RIGHT(H166,1)="s",H166,IF(RIGHT(H166,1)="l",LEFT(H166,LEN(H166)-1)&amp;"is",IF(OR(RIGHT(H166,1)="r",RIGHT(H166,1)="z"),H166&amp;"es",IF(RIGHT(H166,1)="m",LEFT(H166,LEN(H166)-1)&amp;"ns",H166&amp;"s")))))</f>
        <v/>
      </c>
    </row>
    <row r="167">
      <c r="A167" s="3">
        <f>IF(OR(G167="",I167=""),"(falta traduzir)",F167&amp;" "&amp;I167&amp;" "&amp;G167)</f>
        <v/>
      </c>
      <c r="B167" t="inlineStr">
        <is>
          <t>罡狱青涛掌</t>
        </is>
      </c>
      <c r="C167" t="inlineStr">
        <is>
          <t>Charity's Binding Greenwave Palm</t>
        </is>
      </c>
      <c r="D167" t="n">
        <v>133</v>
      </c>
      <c r="E167" t="n">
        <v>237</v>
      </c>
      <c r="F167" t="inlineStr">
        <is>
          <t>Palma da Onda Verde</t>
        </is>
      </c>
      <c r="G167" s="4">
        <f>INDEX('Peça 1'!F:F,MATCH(D167,'Peça 1'!A:A,0))&amp;""</f>
        <v/>
      </c>
      <c r="H167" s="4">
        <f>IF(AND(INDEX('Nomes-base'!B:B,MATCH(F167,'Nomes-base'!A:A,0))="f",INDEX('Peça 2'!G:G,MATCH(E167,'Peça 2'!A:A,0))&amp;""&lt;&gt;""),INDEX('Peça 2'!G:G,MATCH(E167,'Peça 2'!A:A,0))&amp;"",INDEX('Peça 2'!F:F,MATCH(E167,'Peça 2'!A:A,0))&amp;"")</f>
        <v/>
      </c>
      <c r="I167" s="4">
        <f>IF(OR(H167="",ISNUMBER(SEARCH(" ",H167)),INDEX('Nomes-base'!C:C,MATCH(F167,'Nomes-base'!A:A,0))&lt;&gt;"p"),H167,IF(RIGHT(H167,1)="s",H167,IF(RIGHT(H167,1)="l",LEFT(H167,LEN(H167)-1)&amp;"is",IF(OR(RIGHT(H167,1)="r",RIGHT(H167,1)="z"),H167&amp;"es",IF(RIGHT(H167,1)="m",LEFT(H167,LEN(H167)-1)&amp;"ns",H167&amp;"s")))))</f>
        <v/>
      </c>
    </row>
    <row r="168">
      <c r="A168" s="3">
        <f>IF(OR(G168="",I168=""),"(falta traduzir)",F168&amp;" "&amp;I168&amp;" "&amp;G168)</f>
        <v/>
      </c>
      <c r="B168" t="inlineStr">
        <is>
          <t>朽雀灵虚爆</t>
        </is>
      </c>
      <c r="C168" t="inlineStr">
        <is>
          <t>Diligence's Avian Void Spirit Blast</t>
        </is>
      </c>
      <c r="D168" t="n">
        <v>134</v>
      </c>
      <c r="E168" t="n">
        <v>310</v>
      </c>
      <c r="F168" t="inlineStr">
        <is>
          <t>Explosão de Espírito do Vazio</t>
        </is>
      </c>
      <c r="G168" s="4">
        <f>INDEX('Peça 1'!F:F,MATCH(D168,'Peça 1'!A:A,0))&amp;""</f>
        <v/>
      </c>
      <c r="H168" s="4">
        <f>IF(AND(INDEX('Nomes-base'!B:B,MATCH(F168,'Nomes-base'!A:A,0))="f",INDEX('Peça 2'!G:G,MATCH(E168,'Peça 2'!A:A,0))&amp;""&lt;&gt;""),INDEX('Peça 2'!G:G,MATCH(E168,'Peça 2'!A:A,0))&amp;"",INDEX('Peça 2'!F:F,MATCH(E168,'Peça 2'!A:A,0))&amp;"")</f>
        <v/>
      </c>
      <c r="I168" s="4">
        <f>IF(OR(H168="",ISNUMBER(SEARCH(" ",H168)),INDEX('Nomes-base'!C:C,MATCH(F168,'Nomes-base'!A:A,0))&lt;&gt;"p"),H168,IF(RIGHT(H168,1)="s",H168,IF(RIGHT(H168,1)="l",LEFT(H168,LEN(H168)-1)&amp;"is",IF(OR(RIGHT(H168,1)="r",RIGHT(H168,1)="z"),H168&amp;"es",IF(RIGHT(H168,1)="m",LEFT(H168,LEN(H168)-1)&amp;"ns",H168&amp;"s")))))</f>
        <v/>
      </c>
    </row>
    <row r="169">
      <c r="A169" s="3">
        <f>IF(OR(G169="",I169=""),"(falta traduzir)",F169&amp;" "&amp;I169&amp;" "&amp;G169)</f>
        <v/>
      </c>
      <c r="B169" t="inlineStr">
        <is>
          <t>虎禅神功</t>
        </is>
      </c>
      <c r="C169" t="inlineStr">
        <is>
          <t>Patience's Tranquil Divine Power</t>
        </is>
      </c>
      <c r="D169" t="n">
        <v>135</v>
      </c>
      <c r="E169" t="n">
        <v>383</v>
      </c>
      <c r="F169" t="inlineStr">
        <is>
          <t>Poder Divino</t>
        </is>
      </c>
      <c r="G169" s="4">
        <f>INDEX('Peça 1'!F:F,MATCH(D169,'Peça 1'!A:A,0))&amp;""</f>
        <v/>
      </c>
      <c r="H169" s="4">
        <f>IF(AND(INDEX('Nomes-base'!B:B,MATCH(F169,'Nomes-base'!A:A,0))="f",INDEX('Peça 2'!G:G,MATCH(E169,'Peça 2'!A:A,0))&amp;""&lt;&gt;""),INDEX('Peça 2'!G:G,MATCH(E169,'Peça 2'!A:A,0))&amp;"",INDEX('Peça 2'!F:F,MATCH(E169,'Peça 2'!A:A,0))&amp;"")</f>
        <v/>
      </c>
      <c r="I169" s="4">
        <f>IF(OR(H169="",ISNUMBER(SEARCH(" ",H169)),INDEX('Nomes-base'!C:C,MATCH(F169,'Nomes-base'!A:A,0))&lt;&gt;"p"),H169,IF(RIGHT(H169,1)="s",H169,IF(RIGHT(H169,1)="l",LEFT(H169,LEN(H169)-1)&amp;"is",IF(OR(RIGHT(H169,1)="r",RIGHT(H169,1)="z"),H169&amp;"es",IF(RIGHT(H169,1)="m",LEFT(H169,LEN(H169)-1)&amp;"ns",H169&amp;"s")))))</f>
        <v/>
      </c>
    </row>
    <row r="170">
      <c r="A170" s="3">
        <f>IF(OR(G170="",I170=""),"(falta traduzir)",F170&amp;" "&amp;I170&amp;" "&amp;G170)</f>
        <v/>
      </c>
      <c r="B170" t="inlineStr">
        <is>
          <t>意形舞</t>
        </is>
      </c>
      <c r="C170" t="inlineStr">
        <is>
          <t>Humility's Forming Dance</t>
        </is>
      </c>
      <c r="D170" t="n">
        <v>136</v>
      </c>
      <c r="E170" t="n">
        <v>256</v>
      </c>
      <c r="F170" t="inlineStr">
        <is>
          <t>Dança</t>
        </is>
      </c>
      <c r="G170" s="4">
        <f>INDEX('Peça 1'!F:F,MATCH(D170,'Peça 1'!A:A,0))&amp;""</f>
        <v/>
      </c>
      <c r="H170" s="4">
        <f>IF(AND(INDEX('Nomes-base'!B:B,MATCH(F170,'Nomes-base'!A:A,0))="f",INDEX('Peça 2'!G:G,MATCH(E170,'Peça 2'!A:A,0))&amp;""&lt;&gt;""),INDEX('Peça 2'!G:G,MATCH(E170,'Peça 2'!A:A,0))&amp;"",INDEX('Peça 2'!F:F,MATCH(E170,'Peça 2'!A:A,0))&amp;"")</f>
        <v/>
      </c>
      <c r="I170" s="4">
        <f>IF(OR(H170="",ISNUMBER(SEARCH(" ",H170)),INDEX('Nomes-base'!C:C,MATCH(F170,'Nomes-base'!A:A,0))&lt;&gt;"p"),H170,IF(RIGHT(H170,1)="s",H170,IF(RIGHT(H170,1)="l",LEFT(H170,LEN(H170)-1)&amp;"is",IF(OR(RIGHT(H170,1)="r",RIGHT(H170,1)="z"),H170&amp;"es",IF(RIGHT(H170,1)="m",LEFT(H170,LEN(H170)-1)&amp;"ns",H170&amp;"s")))))</f>
        <v/>
      </c>
    </row>
    <row r="171">
      <c r="A171" s="3">
        <f>IF(OR(G171="",I171=""),"(falta traduzir)",F171&amp;" "&amp;I171&amp;" "&amp;G171)</f>
        <v/>
      </c>
      <c r="B171" t="inlineStr">
        <is>
          <t>锻罡冰刺术</t>
        </is>
      </c>
      <c r="C171" t="inlineStr">
        <is>
          <t>Mercy's Forceful Icicle</t>
        </is>
      </c>
      <c r="D171" t="n">
        <v>137</v>
      </c>
      <c r="E171" t="n">
        <v>329</v>
      </c>
      <c r="F171" t="inlineStr">
        <is>
          <t>Pingente de Gelo</t>
        </is>
      </c>
      <c r="G171" s="4">
        <f>INDEX('Peça 1'!F:F,MATCH(D171,'Peça 1'!A:A,0))&amp;""</f>
        <v/>
      </c>
      <c r="H171" s="4">
        <f>IF(AND(INDEX('Nomes-base'!B:B,MATCH(F171,'Nomes-base'!A:A,0))="f",INDEX('Peça 2'!G:G,MATCH(E171,'Peça 2'!A:A,0))&amp;""&lt;&gt;""),INDEX('Peça 2'!G:G,MATCH(E171,'Peça 2'!A:A,0))&amp;"",INDEX('Peça 2'!F:F,MATCH(E171,'Peça 2'!A:A,0))&amp;"")</f>
        <v/>
      </c>
      <c r="I171" s="4">
        <f>IF(OR(H171="",ISNUMBER(SEARCH(" ",H171)),INDEX('Nomes-base'!C:C,MATCH(F171,'Nomes-base'!A:A,0))&lt;&gt;"p"),H171,IF(RIGHT(H171,1)="s",H171,IF(RIGHT(H171,1)="l",LEFT(H171,LEN(H171)-1)&amp;"is",IF(OR(RIGHT(H171,1)="r",RIGHT(H171,1)="z"),H171&amp;"es",IF(RIGHT(H171,1)="m",LEFT(H171,LEN(H171)-1)&amp;"ns",H171&amp;"s")))))</f>
        <v/>
      </c>
    </row>
    <row r="172">
      <c r="A172" s="3">
        <f>IF(OR(G172="",I172=""),"(falta traduzir)",F172&amp;" "&amp;I172&amp;" "&amp;G172)</f>
        <v/>
      </c>
      <c r="B172" t="inlineStr">
        <is>
          <t>脱羽秘卷</t>
        </is>
      </c>
      <c r="C172" t="inlineStr">
        <is>
          <t>Bravery's Feathered Secret Manual</t>
        </is>
      </c>
      <c r="D172" t="n">
        <v>138</v>
      </c>
      <c r="E172" t="n">
        <v>202</v>
      </c>
      <c r="F172" t="inlineStr">
        <is>
          <t>Manual Secreto</t>
        </is>
      </c>
      <c r="G172" s="4">
        <f>INDEX('Peça 1'!F:F,MATCH(D172,'Peça 1'!A:A,0))&amp;""</f>
        <v/>
      </c>
      <c r="H172" s="4">
        <f>IF(AND(INDEX('Nomes-base'!B:B,MATCH(F172,'Nomes-base'!A:A,0))="f",INDEX('Peça 2'!G:G,MATCH(E172,'Peça 2'!A:A,0))&amp;""&lt;&gt;""),INDEX('Peça 2'!G:G,MATCH(E172,'Peça 2'!A:A,0))&amp;"",INDEX('Peça 2'!F:F,MATCH(E172,'Peça 2'!A:A,0))&amp;"")</f>
        <v/>
      </c>
      <c r="I172" s="4">
        <f>IF(OR(H172="",ISNUMBER(SEARCH(" ",H172)),INDEX('Nomes-base'!C:C,MATCH(F172,'Nomes-base'!A:A,0))&lt;&gt;"p"),H172,IF(RIGHT(H172,1)="s",H172,IF(RIGHT(H172,1)="l",LEFT(H172,LEN(H172)-1)&amp;"is",IF(OR(RIGHT(H172,1)="r",RIGHT(H172,1)="z"),H172&amp;"es",IF(RIGHT(H172,1)="m",LEFT(H172,LEN(H172)-1)&amp;"ns",H172&amp;"s")))))</f>
        <v/>
      </c>
    </row>
    <row r="173">
      <c r="A173" s="3">
        <f>IF(OR(G173="",I173=""),"(falta traduzir)",F173&amp;" "&amp;I173&amp;" "&amp;G173)</f>
        <v/>
      </c>
      <c r="B173" t="inlineStr">
        <is>
          <t>汲念风刃术</t>
        </is>
      </c>
      <c r="C173" t="inlineStr">
        <is>
          <t>Purity's Thinking Wind Edge</t>
        </is>
      </c>
      <c r="D173" t="n">
        <v>139</v>
      </c>
      <c r="E173" t="n">
        <v>275</v>
      </c>
      <c r="F173" t="inlineStr">
        <is>
          <t>Gume do Vento</t>
        </is>
      </c>
      <c r="G173" s="4">
        <f>INDEX('Peça 1'!F:F,MATCH(D173,'Peça 1'!A:A,0))&amp;""</f>
        <v/>
      </c>
      <c r="H173" s="4">
        <f>IF(AND(INDEX('Nomes-base'!B:B,MATCH(F173,'Nomes-base'!A:A,0))="f",INDEX('Peça 2'!G:G,MATCH(E173,'Peça 2'!A:A,0))&amp;""&lt;&gt;""),INDEX('Peça 2'!G:G,MATCH(E173,'Peça 2'!A:A,0))&amp;"",INDEX('Peça 2'!F:F,MATCH(E173,'Peça 2'!A:A,0))&amp;"")</f>
        <v/>
      </c>
      <c r="I173" s="4">
        <f>IF(OR(H173="",ISNUMBER(SEARCH(" ",H173)),INDEX('Nomes-base'!C:C,MATCH(F173,'Nomes-base'!A:A,0))&lt;&gt;"p"),H173,IF(RIGHT(H173,1)="s",H173,IF(RIGHT(H173,1)="l",LEFT(H173,LEN(H173)-1)&amp;"is",IF(OR(RIGHT(H173,1)="r",RIGHT(H173,1)="z"),H173&amp;"es",IF(RIGHT(H173,1)="m",LEFT(H173,LEN(H173)-1)&amp;"ns",H173&amp;"s")))))</f>
        <v/>
      </c>
    </row>
    <row r="174">
      <c r="A174" s="3">
        <f>IF(OR(G174="",I174=""),"(falta traduzir)",F174&amp;" "&amp;I174&amp;" "&amp;G174)</f>
        <v/>
      </c>
      <c r="B174" t="inlineStr">
        <is>
          <t>嗜极破体拳</t>
        </is>
      </c>
      <c r="C174" t="inlineStr">
        <is>
          <t>Sacrifice's Ultimate Shadowy Fist</t>
        </is>
      </c>
      <c r="D174" t="n">
        <v>140</v>
      </c>
      <c r="E174" t="n">
        <v>348</v>
      </c>
      <c r="F174" t="inlineStr">
        <is>
          <t>Punho Sombrio</t>
        </is>
      </c>
      <c r="G174" s="4">
        <f>INDEX('Peça 1'!F:F,MATCH(D174,'Peça 1'!A:A,0))&amp;""</f>
        <v/>
      </c>
      <c r="H174" s="4">
        <f>IF(AND(INDEX('Nomes-base'!B:B,MATCH(F174,'Nomes-base'!A:A,0))="f",INDEX('Peça 2'!G:G,MATCH(E174,'Peça 2'!A:A,0))&amp;""&lt;&gt;""),INDEX('Peça 2'!G:G,MATCH(E174,'Peça 2'!A:A,0))&amp;"",INDEX('Peça 2'!F:F,MATCH(E174,'Peça 2'!A:A,0))&amp;"")</f>
        <v/>
      </c>
      <c r="I174" s="4">
        <f>IF(OR(H174="",ISNUMBER(SEARCH(" ",H174)),INDEX('Nomes-base'!C:C,MATCH(F174,'Nomes-base'!A:A,0))&lt;&gt;"p"),H174,IF(RIGHT(H174,1)="s",H174,IF(RIGHT(H174,1)="l",LEFT(H174,LEN(H174)-1)&amp;"is",IF(OR(RIGHT(H174,1)="r",RIGHT(H174,1)="z"),H174&amp;"es",IF(RIGHT(H174,1)="m",LEFT(H174,LEN(H174)-1)&amp;"ns",H174&amp;"s")))))</f>
        <v/>
      </c>
    </row>
    <row r="175">
      <c r="A175" s="3">
        <f>IF(OR(G175="",I175=""),"(falta traduzir)",F175&amp;" "&amp;I175&amp;" "&amp;G175)</f>
        <v/>
      </c>
      <c r="B175" t="inlineStr">
        <is>
          <t>旋音闪</t>
        </is>
      </c>
      <c r="C175" t="inlineStr">
        <is>
          <t>Wisdom's Chiming Flash</t>
        </is>
      </c>
      <c r="D175" t="n">
        <v>141</v>
      </c>
      <c r="E175" t="n">
        <v>221</v>
      </c>
      <c r="F175" t="inlineStr">
        <is>
          <t>Lampejo</t>
        </is>
      </c>
      <c r="G175" s="4">
        <f>INDEX('Peça 1'!F:F,MATCH(D175,'Peça 1'!A:A,0))&amp;""</f>
        <v/>
      </c>
      <c r="H175" s="4">
        <f>IF(AND(INDEX('Nomes-base'!B:B,MATCH(F175,'Nomes-base'!A:A,0))="f",INDEX('Peça 2'!G:G,MATCH(E175,'Peça 2'!A:A,0))&amp;""&lt;&gt;""),INDEX('Peça 2'!G:G,MATCH(E175,'Peça 2'!A:A,0))&amp;"",INDEX('Peça 2'!F:F,MATCH(E175,'Peça 2'!A:A,0))&amp;"")</f>
        <v/>
      </c>
      <c r="I175" s="4">
        <f>IF(OR(H175="",ISNUMBER(SEARCH(" ",H175)),INDEX('Nomes-base'!C:C,MATCH(F175,'Nomes-base'!A:A,0))&lt;&gt;"p"),H175,IF(RIGHT(H175,1)="s",H175,IF(RIGHT(H175,1)="l",LEFT(H175,LEN(H175)-1)&amp;"is",IF(OR(RIGHT(H175,1)="r",RIGHT(H175,1)="z"),H175&amp;"es",IF(RIGHT(H175,1)="m",LEFT(H175,LEN(H175)-1)&amp;"ns",H175&amp;"s")))))</f>
        <v/>
      </c>
    </row>
    <row r="176">
      <c r="A176" s="3">
        <f>IF(OR(G176="",I176=""),"(falta traduzir)",F176&amp;" "&amp;I176&amp;" "&amp;G176)</f>
        <v/>
      </c>
      <c r="B176" t="inlineStr">
        <is>
          <t>闪桥步</t>
        </is>
      </c>
      <c r="C176" t="inlineStr">
        <is>
          <t>Vitality's Bridged Step</t>
        </is>
      </c>
      <c r="D176" t="n">
        <v>142</v>
      </c>
      <c r="E176" t="n">
        <v>294</v>
      </c>
      <c r="F176" t="inlineStr">
        <is>
          <t>Passo</t>
        </is>
      </c>
      <c r="G176" s="4">
        <f>INDEX('Peça 1'!F:F,MATCH(D176,'Peça 1'!A:A,0))&amp;""</f>
        <v/>
      </c>
      <c r="H176" s="4">
        <f>IF(AND(INDEX('Nomes-base'!B:B,MATCH(F176,'Nomes-base'!A:A,0))="f",INDEX('Peça 2'!G:G,MATCH(E176,'Peça 2'!A:A,0))&amp;""&lt;&gt;""),INDEX('Peça 2'!G:G,MATCH(E176,'Peça 2'!A:A,0))&amp;"",INDEX('Peça 2'!F:F,MATCH(E176,'Peça 2'!A:A,0))&amp;"")</f>
        <v/>
      </c>
      <c r="I176" s="4">
        <f>IF(OR(H176="",ISNUMBER(SEARCH(" ",H176)),INDEX('Nomes-base'!C:C,MATCH(F176,'Nomes-base'!A:A,0))&lt;&gt;"p"),H176,IF(RIGHT(H176,1)="s",H176,IF(RIGHT(H176,1)="l",LEFT(H176,LEN(H176)-1)&amp;"is",IF(OR(RIGHT(H176,1)="r",RIGHT(H176,1)="z"),H176&amp;"es",IF(RIGHT(H176,1)="m",LEFT(H176,LEN(H176)-1)&amp;"ns",H176&amp;"s")))))</f>
        <v/>
      </c>
    </row>
    <row r="177">
      <c r="A177" s="3">
        <f>IF(OR(G177="",I177=""),"(falta traduzir)",F177&amp;" "&amp;I177&amp;" "&amp;G177)</f>
        <v/>
      </c>
      <c r="B177" t="inlineStr">
        <is>
          <t>瞬宇式</t>
        </is>
      </c>
      <c r="C177" t="inlineStr">
        <is>
          <t>Strength's Universal Technique</t>
        </is>
      </c>
      <c r="D177" t="n">
        <v>143</v>
      </c>
      <c r="E177" t="n">
        <v>367</v>
      </c>
      <c r="F177" t="inlineStr">
        <is>
          <t>Técnica</t>
        </is>
      </c>
      <c r="G177" s="4">
        <f>INDEX('Peça 1'!F:F,MATCH(D177,'Peça 1'!A:A,0))&amp;""</f>
        <v/>
      </c>
      <c r="H177" s="4">
        <f>IF(AND(INDEX('Nomes-base'!B:B,MATCH(F177,'Nomes-base'!A:A,0))="f",INDEX('Peça 2'!G:G,MATCH(E177,'Peça 2'!A:A,0))&amp;""&lt;&gt;""),INDEX('Peça 2'!G:G,MATCH(E177,'Peça 2'!A:A,0))&amp;"",INDEX('Peça 2'!F:F,MATCH(E177,'Peça 2'!A:A,0))&amp;"")</f>
        <v/>
      </c>
      <c r="I177" s="4">
        <f>IF(OR(H177="",ISNUMBER(SEARCH(" ",H177)),INDEX('Nomes-base'!C:C,MATCH(F177,'Nomes-base'!A:A,0))&lt;&gt;"p"),H177,IF(RIGHT(H177,1)="s",H177,IF(RIGHT(H177,1)="l",LEFT(H177,LEN(H177)-1)&amp;"is",IF(OR(RIGHT(H177,1)="r",RIGHT(H177,1)="z"),H177&amp;"es",IF(RIGHT(H177,1)="m",LEFT(H177,LEN(H177)-1)&amp;"ns",H177&amp;"s")))))</f>
        <v/>
      </c>
    </row>
    <row r="178">
      <c r="A178" s="3">
        <f>IF(OR(G178="",I178=""),"(falta traduzir)",F178&amp;" "&amp;I178&amp;" "&amp;G178)</f>
        <v/>
      </c>
      <c r="B178" t="inlineStr">
        <is>
          <t>恨墨旋风刀</t>
        </is>
      </c>
      <c r="C178" t="inlineStr">
        <is>
          <t>Dexterity's Inky Whirlwind Blade</t>
        </is>
      </c>
      <c r="D178" t="n">
        <v>144</v>
      </c>
      <c r="E178" t="n">
        <v>240</v>
      </c>
      <c r="F178" t="inlineStr">
        <is>
          <t>Lâmina do Redemoinho</t>
        </is>
      </c>
      <c r="G178" s="4">
        <f>INDEX('Peça 1'!F:F,MATCH(D178,'Peça 1'!A:A,0))&amp;""</f>
        <v/>
      </c>
      <c r="H178" s="4">
        <f>IF(AND(INDEX('Nomes-base'!B:B,MATCH(F178,'Nomes-base'!A:A,0))="f",INDEX('Peça 2'!G:G,MATCH(E178,'Peça 2'!A:A,0))&amp;""&lt;&gt;""),INDEX('Peça 2'!G:G,MATCH(E178,'Peça 2'!A:A,0))&amp;"",INDEX('Peça 2'!F:F,MATCH(E178,'Peça 2'!A:A,0))&amp;"")</f>
        <v/>
      </c>
      <c r="I178" s="4">
        <f>IF(OR(H178="",ISNUMBER(SEARCH(" ",H178)),INDEX('Nomes-base'!C:C,MATCH(F178,'Nomes-base'!A:A,0))&lt;&gt;"p"),H178,IF(RIGHT(H178,1)="s",H178,IF(RIGHT(H178,1)="l",LEFT(H178,LEN(H178)-1)&amp;"is",IF(OR(RIGHT(H178,1)="r",RIGHT(H178,1)="z"),H178&amp;"es",IF(RIGHT(H178,1)="m",LEFT(H178,LEN(H178)-1)&amp;"ns",H178&amp;"s")))))</f>
        <v/>
      </c>
    </row>
    <row r="179">
      <c r="A179" s="3">
        <f>IF(OR(G179="",I179=""),"(falta traduzir)",F179&amp;" "&amp;I179&amp;" "&amp;G179)</f>
        <v/>
      </c>
      <c r="B179" t="inlineStr">
        <is>
          <t>巨背落雷阵</t>
        </is>
      </c>
      <c r="C179" t="inlineStr">
        <is>
          <t>Charm's Rear Lightning Crash</t>
        </is>
      </c>
      <c r="D179" t="n">
        <v>145</v>
      </c>
      <c r="E179" t="n">
        <v>313</v>
      </c>
      <c r="F179" t="inlineStr">
        <is>
          <t>Colapso do Relâmpago</t>
        </is>
      </c>
      <c r="G179" s="4">
        <f>INDEX('Peça 1'!F:F,MATCH(D179,'Peça 1'!A:A,0))&amp;""</f>
        <v/>
      </c>
      <c r="H179" s="4">
        <f>IF(AND(INDEX('Nomes-base'!B:B,MATCH(F179,'Nomes-base'!A:A,0))="f",INDEX('Peça 2'!G:G,MATCH(E179,'Peça 2'!A:A,0))&amp;""&lt;&gt;""),INDEX('Peça 2'!G:G,MATCH(E179,'Peça 2'!A:A,0))&amp;"",INDEX('Peça 2'!F:F,MATCH(E179,'Peça 2'!A:A,0))&amp;"")</f>
        <v/>
      </c>
      <c r="I179" s="4">
        <f>IF(OR(H179="",ISNUMBER(SEARCH(" ",H179)),INDEX('Nomes-base'!C:C,MATCH(F179,'Nomes-base'!A:A,0))&lt;&gt;"p"),H179,IF(RIGHT(H179,1)="s",H179,IF(RIGHT(H179,1)="l",LEFT(H179,LEN(H179)-1)&amp;"is",IF(OR(RIGHT(H179,1)="r",RIGHT(H179,1)="z"),H179&amp;"es",IF(RIGHT(H179,1)="m",LEFT(H179,LEN(H179)-1)&amp;"ns",H179&amp;"s")))))</f>
        <v/>
      </c>
    </row>
    <row r="180">
      <c r="A180" s="3">
        <f>IF(OR(G180="",I180=""),"(falta traduzir)",F180&amp;" "&amp;I180&amp;" "&amp;G180)</f>
        <v/>
      </c>
      <c r="B180" t="inlineStr">
        <is>
          <t>覆刹大法</t>
        </is>
      </c>
      <c r="C180" t="inlineStr">
        <is>
          <t>Fidelity's Instant Mastery</t>
        </is>
      </c>
      <c r="D180" t="n">
        <v>146</v>
      </c>
      <c r="E180" t="n">
        <v>386</v>
      </c>
      <c r="F180" t="inlineStr">
        <is>
          <t>Mestria</t>
        </is>
      </c>
      <c r="G180" s="4">
        <f>INDEX('Peça 1'!F:F,MATCH(D180,'Peça 1'!A:A,0))&amp;""</f>
        <v/>
      </c>
      <c r="H180" s="4">
        <f>IF(AND(INDEX('Nomes-base'!B:B,MATCH(F180,'Nomes-base'!A:A,0))="f",INDEX('Peça 2'!G:G,MATCH(E180,'Peça 2'!A:A,0))&amp;""&lt;&gt;""),INDEX('Peça 2'!G:G,MATCH(E180,'Peça 2'!A:A,0))&amp;"",INDEX('Peça 2'!F:F,MATCH(E180,'Peça 2'!A:A,0))&amp;"")</f>
        <v/>
      </c>
      <c r="I180" s="4">
        <f>IF(OR(H180="",ISNUMBER(SEARCH(" ",H180)),INDEX('Nomes-base'!C:C,MATCH(F180,'Nomes-base'!A:A,0))&lt;&gt;"p"),H180,IF(RIGHT(H180,1)="s",H180,IF(RIGHT(H180,1)="l",LEFT(H180,LEN(H180)-1)&amp;"is",IF(OR(RIGHT(H180,1)="r",RIGHT(H180,1)="z"),H180&amp;"es",IF(RIGHT(H180,1)="m",LEFT(H180,LEN(H180)-1)&amp;"ns",H180&amp;"s")))))</f>
        <v/>
      </c>
    </row>
    <row r="181">
      <c r="A181" s="3">
        <f>IF(OR(G181="",I181=""),"(falta traduzir)",F181&amp;" "&amp;I181&amp;" "&amp;G181)</f>
        <v/>
      </c>
      <c r="B181" t="inlineStr">
        <is>
          <t>鬼鬼突</t>
        </is>
      </c>
      <c r="C181" t="inlineStr">
        <is>
          <t>Propriety's Ghostly Dash</t>
        </is>
      </c>
      <c r="D181" t="n">
        <v>147</v>
      </c>
      <c r="E181" t="n">
        <v>259</v>
      </c>
      <c r="F181" t="inlineStr">
        <is>
          <t>Arrancada</t>
        </is>
      </c>
      <c r="G181" s="4">
        <f>INDEX('Peça 1'!F:F,MATCH(D181,'Peça 1'!A:A,0))&amp;""</f>
        <v/>
      </c>
      <c r="H181" s="4">
        <f>IF(AND(INDEX('Nomes-base'!B:B,MATCH(F181,'Nomes-base'!A:A,0))="f",INDEX('Peça 2'!G:G,MATCH(E181,'Peça 2'!A:A,0))&amp;""&lt;&gt;""),INDEX('Peça 2'!G:G,MATCH(E181,'Peça 2'!A:A,0))&amp;"",INDEX('Peça 2'!F:F,MATCH(E181,'Peça 2'!A:A,0))&amp;"")</f>
        <v/>
      </c>
      <c r="I181" s="4">
        <f>IF(OR(H181="",ISNUMBER(SEARCH(" ",H181)),INDEX('Nomes-base'!C:C,MATCH(F181,'Nomes-base'!A:A,0))&lt;&gt;"p"),H181,IF(RIGHT(H181,1)="s",H181,IF(RIGHT(H181,1)="l",LEFT(H181,LEN(H181)-1)&amp;"is",IF(OR(RIGHT(H181,1)="r",RIGHT(H181,1)="z"),H181&amp;"es",IF(RIGHT(H181,1)="m",LEFT(H181,LEN(H181)-1)&amp;"ns",H181&amp;"s")))))</f>
        <v/>
      </c>
    </row>
    <row r="182">
      <c r="A182" s="3">
        <f>IF(OR(G182="",I182=""),"(falta traduzir)",F182&amp;" "&amp;I182&amp;" "&amp;G182)</f>
        <v/>
      </c>
      <c r="B182" t="inlineStr">
        <is>
          <t>降卦冰天眼</t>
        </is>
      </c>
      <c r="C182" t="inlineStr">
        <is>
          <t>Harmony's Trigrammic Heavenly Icy Eye</t>
        </is>
      </c>
      <c r="D182" t="n">
        <v>148</v>
      </c>
      <c r="E182" t="n">
        <v>332</v>
      </c>
      <c r="F182" t="inlineStr">
        <is>
          <t>Olhar Gélido Celestial</t>
        </is>
      </c>
      <c r="G182" s="4">
        <f>INDEX('Peça 1'!F:F,MATCH(D182,'Peça 1'!A:A,0))&amp;""</f>
        <v/>
      </c>
      <c r="H182" s="4">
        <f>IF(AND(INDEX('Nomes-base'!B:B,MATCH(F182,'Nomes-base'!A:A,0))="f",INDEX('Peça 2'!G:G,MATCH(E182,'Peça 2'!A:A,0))&amp;""&lt;&gt;""),INDEX('Peça 2'!G:G,MATCH(E182,'Peça 2'!A:A,0))&amp;"",INDEX('Peça 2'!F:F,MATCH(E182,'Peça 2'!A:A,0))&amp;"")</f>
        <v/>
      </c>
      <c r="I182" s="4">
        <f>IF(OR(H182="",ISNUMBER(SEARCH(" ",H182)),INDEX('Nomes-base'!C:C,MATCH(F182,'Nomes-base'!A:A,0))&lt;&gt;"p"),H182,IF(RIGHT(H182,1)="s",H182,IF(RIGHT(H182,1)="l",LEFT(H182,LEN(H182)-1)&amp;"is",IF(OR(RIGHT(H182,1)="r",RIGHT(H182,1)="z"),H182&amp;"es",IF(RIGHT(H182,1)="m",LEFT(H182,LEN(H182)-1)&amp;"ns",H182&amp;"s")))))</f>
        <v/>
      </c>
    </row>
    <row r="183">
      <c r="A183" s="3">
        <f>IF(OR(G183="",I183=""),"(falta traduzir)",F183&amp;" "&amp;I183&amp;" "&amp;G183)</f>
        <v/>
      </c>
      <c r="B183" t="inlineStr">
        <is>
          <t>六花隐</t>
        </is>
      </c>
      <c r="C183" t="inlineStr">
        <is>
          <t>Integrity's Petaled Stealth</t>
        </is>
      </c>
      <c r="D183" t="n">
        <v>149</v>
      </c>
      <c r="E183" t="n">
        <v>205</v>
      </c>
      <c r="F183" t="inlineStr">
        <is>
          <t>Furtividade</t>
        </is>
      </c>
      <c r="G183" s="4">
        <f>INDEX('Peça 1'!F:F,MATCH(D183,'Peça 1'!A:A,0))&amp;""</f>
        <v/>
      </c>
      <c r="H183" s="4">
        <f>IF(AND(INDEX('Nomes-base'!B:B,MATCH(F183,'Nomes-base'!A:A,0))="f",INDEX('Peça 2'!G:G,MATCH(E183,'Peça 2'!A:A,0))&amp;""&lt;&gt;""),INDEX('Peça 2'!G:G,MATCH(E183,'Peça 2'!A:A,0))&amp;"",INDEX('Peça 2'!F:F,MATCH(E183,'Peça 2'!A:A,0))&amp;"")</f>
        <v/>
      </c>
      <c r="I183" s="4">
        <f>IF(OR(H183="",ISNUMBER(SEARCH(" ",H183)),INDEX('Nomes-base'!C:C,MATCH(F183,'Nomes-base'!A:A,0))&lt;&gt;"p"),H183,IF(RIGHT(H183,1)="s",H183,IF(RIGHT(H183,1)="l",LEFT(H183,LEN(H183)-1)&amp;"is",IF(OR(RIGHT(H183,1)="r",RIGHT(H183,1)="z"),H183&amp;"es",IF(RIGHT(H183,1)="m",LEFT(H183,LEN(H183)-1)&amp;"ns",H183&amp;"s")))))</f>
        <v/>
      </c>
    </row>
    <row r="184">
      <c r="A184" s="3">
        <f>IF(OR(G184="",I184=""),"(falta traduzir)",F184&amp;" "&amp;I184&amp;" "&amp;G184)</f>
        <v/>
      </c>
      <c r="B184" t="inlineStr">
        <is>
          <t>如破惊虹掌</t>
        </is>
      </c>
      <c r="C184" t="inlineStr">
        <is>
          <t>Turtle's Ruinous Rainbow Palm</t>
        </is>
      </c>
      <c r="D184" t="n">
        <v>150</v>
      </c>
      <c r="E184" t="n">
        <v>278</v>
      </c>
      <c r="F184" t="inlineStr">
        <is>
          <t>Palma Arco-Íris</t>
        </is>
      </c>
      <c r="G184" s="4">
        <f>INDEX('Peça 1'!F:F,MATCH(D184,'Peça 1'!A:A,0))&amp;""</f>
        <v/>
      </c>
      <c r="H184" s="4">
        <f>IF(AND(INDEX('Nomes-base'!B:B,MATCH(F184,'Nomes-base'!A:A,0))="f",INDEX('Peça 2'!G:G,MATCH(E184,'Peça 2'!A:A,0))&amp;""&lt;&gt;""),INDEX('Peça 2'!G:G,MATCH(E184,'Peça 2'!A:A,0))&amp;"",INDEX('Peça 2'!F:F,MATCH(E184,'Peça 2'!A:A,0))&amp;"")</f>
        <v/>
      </c>
      <c r="I184" s="4">
        <f>IF(OR(H184="",ISNUMBER(SEARCH(" ",H184)),INDEX('Nomes-base'!C:C,MATCH(F184,'Nomes-base'!A:A,0))&lt;&gt;"p"),H184,IF(RIGHT(H184,1)="s",H184,IF(RIGHT(H184,1)="l",LEFT(H184,LEN(H184)-1)&amp;"is",IF(OR(RIGHT(H184,1)="r",RIGHT(H184,1)="z"),H184&amp;"es",IF(RIGHT(H184,1)="m",LEFT(H184,LEN(H184)-1)&amp;"ns",H184&amp;"s")))))</f>
        <v/>
      </c>
    </row>
    <row r="185">
      <c r="A185" s="3">
        <f>IF(OR(G185="",I185=""),"(falta traduzir)",F185&amp;" "&amp;I185&amp;" "&amp;G185)</f>
        <v/>
      </c>
      <c r="B185" t="inlineStr">
        <is>
          <t>囚絮裂地拳</t>
        </is>
      </c>
      <c r="C185" t="inlineStr">
        <is>
          <t>Visage's Bundling Seismic Fist</t>
        </is>
      </c>
      <c r="D185" t="n">
        <v>151</v>
      </c>
      <c r="E185" t="n">
        <v>351</v>
      </c>
      <c r="F185" t="inlineStr">
        <is>
          <t>Punho Sísmico</t>
        </is>
      </c>
      <c r="G185" s="4">
        <f>INDEX('Peça 1'!F:F,MATCH(D185,'Peça 1'!A:A,0))&amp;""</f>
        <v/>
      </c>
      <c r="H185" s="4">
        <f>IF(AND(INDEX('Nomes-base'!B:B,MATCH(F185,'Nomes-base'!A:A,0))="f",INDEX('Peça 2'!G:G,MATCH(E185,'Peça 2'!A:A,0))&amp;""&lt;&gt;""),INDEX('Peça 2'!G:G,MATCH(E185,'Peça 2'!A:A,0))&amp;"",INDEX('Peça 2'!F:F,MATCH(E185,'Peça 2'!A:A,0))&amp;"")</f>
        <v/>
      </c>
      <c r="I185" s="4">
        <f>IF(OR(H185="",ISNUMBER(SEARCH(" ",H185)),INDEX('Nomes-base'!C:C,MATCH(F185,'Nomes-base'!A:A,0))&lt;&gt;"p"),H185,IF(RIGHT(H185,1)="s",H185,IF(RIGHT(H185,1)="l",LEFT(H185,LEN(H185)-1)&amp;"is",IF(OR(RIGHT(H185,1)="r",RIGHT(H185,1)="z"),H185&amp;"es",IF(RIGHT(H185,1)="m",LEFT(H185,LEN(H185)-1)&amp;"ns",H185&amp;"s")))))</f>
        <v/>
      </c>
    </row>
    <row r="186">
      <c r="A186" s="3">
        <f>IF(OR(G186="",I186=""),"(falta traduzir)",F186&amp;" "&amp;I186&amp;" "&amp;G186)</f>
        <v/>
      </c>
      <c r="B186" t="inlineStr">
        <is>
          <t>合龙卷</t>
        </is>
      </c>
      <c r="C186" t="inlineStr">
        <is>
          <t>Smith's Draconic Tornado</t>
        </is>
      </c>
      <c r="D186" t="n">
        <v>152</v>
      </c>
      <c r="E186" t="n">
        <v>224</v>
      </c>
      <c r="F186" t="inlineStr">
        <is>
          <t>Tornado</t>
        </is>
      </c>
      <c r="G186" s="4">
        <f>INDEX('Peça 1'!F:F,MATCH(D186,'Peça 1'!A:A,0))&amp;""</f>
        <v/>
      </c>
      <c r="H186" s="4">
        <f>IF(AND(INDEX('Nomes-base'!B:B,MATCH(F186,'Nomes-base'!A:A,0))="f",INDEX('Peça 2'!G:G,MATCH(E186,'Peça 2'!A:A,0))&amp;""&lt;&gt;""),INDEX('Peça 2'!G:G,MATCH(E186,'Peça 2'!A:A,0))&amp;"",INDEX('Peça 2'!F:F,MATCH(E186,'Peça 2'!A:A,0))&amp;"")</f>
        <v/>
      </c>
      <c r="I186" s="4">
        <f>IF(OR(H186="",ISNUMBER(SEARCH(" ",H186)),INDEX('Nomes-base'!C:C,MATCH(F186,'Nomes-base'!A:A,0))&lt;&gt;"p"),H186,IF(RIGHT(H186,1)="s",H186,IF(RIGHT(H186,1)="l",LEFT(H186,LEN(H186)-1)&amp;"is",IF(OR(RIGHT(H186,1)="r",RIGHT(H186,1)="z"),H186&amp;"es",IF(RIGHT(H186,1)="m",LEFT(H186,LEN(H186)-1)&amp;"ns",H186&amp;"s")))))</f>
        <v/>
      </c>
    </row>
    <row r="187">
      <c r="A187" s="3">
        <f>IF(OR(G187="",I187=""),"(falta traduzir)",F187&amp;" "&amp;I187&amp;" "&amp;G187)</f>
        <v/>
      </c>
      <c r="B187" t="inlineStr">
        <is>
          <t>明峰水灵术</t>
        </is>
      </c>
      <c r="C187" t="inlineStr">
        <is>
          <t>Ceremony's Peaked Spiritual Water</t>
        </is>
      </c>
      <c r="D187" t="n">
        <v>153</v>
      </c>
      <c r="E187" t="n">
        <v>297</v>
      </c>
      <c r="F187" t="inlineStr">
        <is>
          <t>Água Espiritual</t>
        </is>
      </c>
      <c r="G187" s="4">
        <f>INDEX('Peça 1'!F:F,MATCH(D187,'Peça 1'!A:A,0))&amp;""</f>
        <v/>
      </c>
      <c r="H187" s="4">
        <f>IF(AND(INDEX('Nomes-base'!B:B,MATCH(F187,'Nomes-base'!A:A,0))="f",INDEX('Peça 2'!G:G,MATCH(E187,'Peça 2'!A:A,0))&amp;""&lt;&gt;""),INDEX('Peça 2'!G:G,MATCH(E187,'Peça 2'!A:A,0))&amp;"",INDEX('Peça 2'!F:F,MATCH(E187,'Peça 2'!A:A,0))&amp;"")</f>
        <v/>
      </c>
      <c r="I187" s="4">
        <f>IF(OR(H187="",ISNUMBER(SEARCH(" ",H187)),INDEX('Nomes-base'!C:C,MATCH(F187,'Nomes-base'!A:A,0))&lt;&gt;"p"),H187,IF(RIGHT(H187,1)="s",H187,IF(RIGHT(H187,1)="l",LEFT(H187,LEN(H187)-1)&amp;"is",IF(OR(RIGHT(H187,1)="r",RIGHT(H187,1)="z"),H187&amp;"es",IF(RIGHT(H187,1)="m",LEFT(H187,LEN(H187)-1)&amp;"ns",H187&amp;"s")))))</f>
        <v/>
      </c>
    </row>
    <row r="188">
      <c r="A188" s="3">
        <f>IF(OR(G188="",I188=""),"(falta traduzir)",F188&amp;" "&amp;I188&amp;" "&amp;G188)</f>
        <v/>
      </c>
      <c r="B188" t="inlineStr">
        <is>
          <t>绮泽诀</t>
        </is>
      </c>
      <c r="C188" t="inlineStr">
        <is>
          <t>Ruler's Mired Guide</t>
        </is>
      </c>
      <c r="D188" t="n">
        <v>154</v>
      </c>
      <c r="E188" t="n">
        <v>370</v>
      </c>
      <c r="F188" t="inlineStr">
        <is>
          <t>Guia</t>
        </is>
      </c>
      <c r="G188" s="4">
        <f>INDEX('Peça 1'!F:F,MATCH(D188,'Peça 1'!A:A,0))&amp;""</f>
        <v/>
      </c>
      <c r="H188" s="4">
        <f>IF(AND(INDEX('Nomes-base'!B:B,MATCH(F188,'Nomes-base'!A:A,0))="f",INDEX('Peça 2'!G:G,MATCH(E188,'Peça 2'!A:A,0))&amp;""&lt;&gt;""),INDEX('Peça 2'!G:G,MATCH(E188,'Peça 2'!A:A,0))&amp;"",INDEX('Peça 2'!F:F,MATCH(E188,'Peça 2'!A:A,0))&amp;"")</f>
        <v/>
      </c>
      <c r="I188" s="4">
        <f>IF(OR(H188="",ISNUMBER(SEARCH(" ",H188)),INDEX('Nomes-base'!C:C,MATCH(F188,'Nomes-base'!A:A,0))&lt;&gt;"p"),H188,IF(RIGHT(H188,1)="s",H188,IF(RIGHT(H188,1)="l",LEFT(H188,LEN(H188)-1)&amp;"is",IF(OR(RIGHT(H188,1)="r",RIGHT(H188,1)="z"),H188&amp;"es",IF(RIGHT(H188,1)="m",LEFT(H188,LEN(H188)-1)&amp;"ns",H188&amp;"s")))))</f>
        <v/>
      </c>
    </row>
    <row r="189">
      <c r="A189" s="3">
        <f>IF(OR(G189="",I189=""),"(falta traduzir)",F189&amp;" "&amp;I189&amp;" "&amp;G189)</f>
        <v/>
      </c>
      <c r="B189" t="inlineStr">
        <is>
          <t>梵夜落石术</t>
        </is>
      </c>
      <c r="C189" t="inlineStr">
        <is>
          <t>Sage's Nightly Falling Rock</t>
        </is>
      </c>
      <c r="D189" t="n">
        <v>155</v>
      </c>
      <c r="E189" t="n">
        <v>243</v>
      </c>
      <c r="F189" t="inlineStr">
        <is>
          <t>Queda de Rochas</t>
        </is>
      </c>
      <c r="G189" s="4">
        <f>INDEX('Peça 1'!F:F,MATCH(D189,'Peça 1'!A:A,0))&amp;""</f>
        <v/>
      </c>
      <c r="H189" s="4">
        <f>IF(AND(INDEX('Nomes-base'!B:B,MATCH(F189,'Nomes-base'!A:A,0))="f",INDEX('Peça 2'!G:G,MATCH(E189,'Peça 2'!A:A,0))&amp;""&lt;&gt;""),INDEX('Peça 2'!G:G,MATCH(E189,'Peça 2'!A:A,0))&amp;"",INDEX('Peça 2'!F:F,MATCH(E189,'Peça 2'!A:A,0))&amp;"")</f>
        <v/>
      </c>
      <c r="I189" s="4">
        <f>IF(OR(H189="",ISNUMBER(SEARCH(" ",H189)),INDEX('Nomes-base'!C:C,MATCH(F189,'Nomes-base'!A:A,0))&lt;&gt;"p"),H189,IF(RIGHT(H189,1)="s",H189,IF(RIGHT(H189,1)="l",LEFT(H189,LEN(H189)-1)&amp;"is",IF(OR(RIGHT(H189,1)="r",RIGHT(H189,1)="z"),H189&amp;"es",IF(RIGHT(H189,1)="m",LEFT(H189,LEN(H189)-1)&amp;"ns",H189&amp;"s")))))</f>
        <v/>
      </c>
    </row>
    <row r="190">
      <c r="A190" s="3">
        <f>IF(OR(G190="",I190=""),"(falta traduzir)",F190&amp;" "&amp;I190&amp;" "&amp;G190)</f>
        <v/>
      </c>
      <c r="B190" t="inlineStr">
        <is>
          <t>离野疾龙破</t>
        </is>
      </c>
      <c r="C190" t="inlineStr">
        <is>
          <t>Crystal's Wild Sprinting Dragon Rising</t>
        </is>
      </c>
      <c r="D190" t="n">
        <v>156</v>
      </c>
      <c r="E190" t="n">
        <v>316</v>
      </c>
      <c r="F190" t="inlineStr">
        <is>
          <t>Ascensão do Dragão Veloz</t>
        </is>
      </c>
      <c r="G190" s="4">
        <f>INDEX('Peça 1'!F:F,MATCH(D190,'Peça 1'!A:A,0))&amp;""</f>
        <v/>
      </c>
      <c r="H190" s="4">
        <f>IF(AND(INDEX('Nomes-base'!B:B,MATCH(F190,'Nomes-base'!A:A,0))="f",INDEX('Peça 2'!G:G,MATCH(E190,'Peça 2'!A:A,0))&amp;""&lt;&gt;""),INDEX('Peça 2'!G:G,MATCH(E190,'Peça 2'!A:A,0))&amp;"",INDEX('Peça 2'!F:F,MATCH(E190,'Peça 2'!A:A,0))&amp;"")</f>
        <v/>
      </c>
      <c r="I190" s="4">
        <f>IF(OR(H190="",ISNUMBER(SEARCH(" ",H190)),INDEX('Nomes-base'!C:C,MATCH(F190,'Nomes-base'!A:A,0))&lt;&gt;"p"),H190,IF(RIGHT(H190,1)="s",H190,IF(RIGHT(H190,1)="l",LEFT(H190,LEN(H190)-1)&amp;"is",IF(OR(RIGHT(H190,1)="r",RIGHT(H190,1)="z"),H190&amp;"es",IF(RIGHT(H190,1)="m",LEFT(H190,LEN(H190)-1)&amp;"ns",H190&amp;"s")))))</f>
        <v/>
      </c>
    </row>
    <row r="191">
      <c r="A191" s="3">
        <f>IF(OR(G191="",I191=""),"(falta traduzir)",F191&amp;" "&amp;I191&amp;" "&amp;G191)</f>
        <v/>
      </c>
      <c r="B191" t="inlineStr">
        <is>
          <t>辰翎跃</t>
        </is>
      </c>
      <c r="C191" t="inlineStr">
        <is>
          <t>Stardust's Plumed Leap</t>
        </is>
      </c>
      <c r="D191" t="n">
        <v>157</v>
      </c>
      <c r="E191" t="n">
        <v>389</v>
      </c>
      <c r="F191" t="inlineStr">
        <is>
          <t>Salto</t>
        </is>
      </c>
      <c r="G191" s="4">
        <f>INDEX('Peça 1'!F:F,MATCH(D191,'Peça 1'!A:A,0))&amp;""</f>
        <v/>
      </c>
      <c r="H191" s="4">
        <f>IF(AND(INDEX('Nomes-base'!B:B,MATCH(F191,'Nomes-base'!A:A,0))="f",INDEX('Peça 2'!G:G,MATCH(E191,'Peça 2'!A:A,0))&amp;""&lt;&gt;""),INDEX('Peça 2'!G:G,MATCH(E191,'Peça 2'!A:A,0))&amp;"",INDEX('Peça 2'!F:F,MATCH(E191,'Peça 2'!A:A,0))&amp;"")</f>
        <v/>
      </c>
      <c r="I191" s="4">
        <f>IF(OR(H191="",ISNUMBER(SEARCH(" ",H191)),INDEX('Nomes-base'!C:C,MATCH(F191,'Nomes-base'!A:A,0))&lt;&gt;"p"),H191,IF(RIGHT(H191,1)="s",H191,IF(RIGHT(H191,1)="l",LEFT(H191,LEN(H191)-1)&amp;"is",IF(OR(RIGHT(H191,1)="r",RIGHT(H191,1)="z"),H191&amp;"es",IF(RIGHT(H191,1)="m",LEFT(H191,LEN(H191)-1)&amp;"ns",H191&amp;"s")))))</f>
        <v/>
      </c>
    </row>
    <row r="192">
      <c r="A192" s="3">
        <f>IF(OR(G192="",I192=""),"(falta traduzir)",F192&amp;" "&amp;I192&amp;" "&amp;G192)</f>
        <v/>
      </c>
      <c r="B192" t="inlineStr">
        <is>
          <t>九脉御术</t>
        </is>
      </c>
      <c r="C192" t="inlineStr">
        <is>
          <t>Moonfall's Pulsing Drift</t>
        </is>
      </c>
      <c r="D192" t="n">
        <v>158</v>
      </c>
      <c r="E192" t="n">
        <v>262</v>
      </c>
      <c r="F192" t="inlineStr">
        <is>
          <t>Deriva</t>
        </is>
      </c>
      <c r="G192" s="4">
        <f>INDEX('Peça 1'!F:F,MATCH(D192,'Peça 1'!A:A,0))&amp;""</f>
        <v/>
      </c>
      <c r="H192" s="4">
        <f>IF(AND(INDEX('Nomes-base'!B:B,MATCH(F192,'Nomes-base'!A:A,0))="f",INDEX('Peça 2'!G:G,MATCH(E192,'Peça 2'!A:A,0))&amp;""&lt;&gt;""),INDEX('Peça 2'!G:G,MATCH(E192,'Peça 2'!A:A,0))&amp;"",INDEX('Peça 2'!F:F,MATCH(E192,'Peça 2'!A:A,0))&amp;"")</f>
        <v/>
      </c>
      <c r="I192" s="4">
        <f>IF(OR(H192="",ISNUMBER(SEARCH(" ",H192)),INDEX('Nomes-base'!C:C,MATCH(F192,'Nomes-base'!A:A,0))&lt;&gt;"p"),H192,IF(RIGHT(H192,1)="s",H192,IF(RIGHT(H192,1)="l",LEFT(H192,LEN(H192)-1)&amp;"is",IF(OR(RIGHT(H192,1)="r",RIGHT(H192,1)="z"),H192&amp;"es",IF(RIGHT(H192,1)="m",LEFT(H192,LEN(H192)-1)&amp;"ns",H192&amp;"s")))))</f>
        <v/>
      </c>
    </row>
    <row r="193">
      <c r="A193" s="3">
        <f>IF(OR(G193="",I193=""),"(falta traduzir)",F193&amp;" "&amp;I193&amp;" "&amp;G193)</f>
        <v/>
      </c>
      <c r="B193" t="inlineStr">
        <is>
          <t>混柔经</t>
        </is>
      </c>
      <c r="C193" t="inlineStr">
        <is>
          <t>Physique's Soft Sutra</t>
        </is>
      </c>
      <c r="D193" t="n">
        <v>159</v>
      </c>
      <c r="E193" t="n">
        <v>335</v>
      </c>
      <c r="F193" t="inlineStr">
        <is>
          <t>Sutra</t>
        </is>
      </c>
      <c r="G193" s="4">
        <f>INDEX('Peça 1'!F:F,MATCH(D193,'Peça 1'!A:A,0))&amp;""</f>
        <v/>
      </c>
      <c r="H193" s="4">
        <f>IF(AND(INDEX('Nomes-base'!B:B,MATCH(F193,'Nomes-base'!A:A,0))="f",INDEX('Peça 2'!G:G,MATCH(E193,'Peça 2'!A:A,0))&amp;""&lt;&gt;""),INDEX('Peça 2'!G:G,MATCH(E193,'Peça 2'!A:A,0))&amp;"",INDEX('Peça 2'!F:F,MATCH(E193,'Peça 2'!A:A,0))&amp;"")</f>
        <v/>
      </c>
      <c r="I193" s="4">
        <f>IF(OR(H193="",ISNUMBER(SEARCH(" ",H193)),INDEX('Nomes-base'!C:C,MATCH(F193,'Nomes-base'!A:A,0))&lt;&gt;"p"),H193,IF(RIGHT(H193,1)="s",H193,IF(RIGHT(H193,1)="l",LEFT(H193,LEN(H193)-1)&amp;"is",IF(OR(RIGHT(H193,1)="r",RIGHT(H193,1)="z"),H193&amp;"es",IF(RIGHT(H193,1)="m",LEFT(H193,LEN(H193)-1)&amp;"ns",H193&amp;"s")))))</f>
        <v/>
      </c>
    </row>
    <row r="194">
      <c r="A194" s="3">
        <f>IF(OR(G194="",I194=""),"(falta traduzir)",F194&amp;" "&amp;I194&amp;" "&amp;G194)</f>
        <v/>
      </c>
      <c r="B194" t="inlineStr">
        <is>
          <t>擎天贯龙枪</t>
        </is>
      </c>
      <c r="C194" t="inlineStr">
        <is>
          <t>Soul's Cerulean Splitting Dragon Spear</t>
        </is>
      </c>
      <c r="D194" t="n">
        <v>160</v>
      </c>
      <c r="E194" t="n">
        <v>208</v>
      </c>
      <c r="F194" t="inlineStr">
        <is>
          <t>Lança do Dragão Fendente</t>
        </is>
      </c>
      <c r="G194" s="4">
        <f>INDEX('Peça 1'!F:F,MATCH(D194,'Peça 1'!A:A,0))&amp;""</f>
        <v/>
      </c>
      <c r="H194" s="4">
        <f>IF(AND(INDEX('Nomes-base'!B:B,MATCH(F194,'Nomes-base'!A:A,0))="f",INDEX('Peça 2'!G:G,MATCH(E194,'Peça 2'!A:A,0))&amp;""&lt;&gt;""),INDEX('Peça 2'!G:G,MATCH(E194,'Peça 2'!A:A,0))&amp;"",INDEX('Peça 2'!F:F,MATCH(E194,'Peça 2'!A:A,0))&amp;"")</f>
        <v/>
      </c>
      <c r="I194" s="4">
        <f>IF(OR(H194="",ISNUMBER(SEARCH(" ",H194)),INDEX('Nomes-base'!C:C,MATCH(F194,'Nomes-base'!A:A,0))&lt;&gt;"p"),H194,IF(RIGHT(H194,1)="s",H194,IF(RIGHT(H194,1)="l",LEFT(H194,LEN(H194)-1)&amp;"is",IF(OR(RIGHT(H194,1)="r",RIGHT(H194,1)="z"),H194&amp;"es",IF(RIGHT(H194,1)="m",LEFT(H194,LEN(H194)-1)&amp;"ns",H194&amp;"s")))))</f>
        <v/>
      </c>
    </row>
    <row r="195">
      <c r="A195" s="3">
        <f>IF(OR(G195="",I195=""),"(falta traduzir)",F195&amp;" "&amp;I195&amp;" "&amp;G195)</f>
        <v/>
      </c>
      <c r="B195" t="inlineStr">
        <is>
          <t>真雾毒沼术</t>
        </is>
      </c>
      <c r="C195" t="inlineStr">
        <is>
          <t>Fool's Misty Poisonous Marsh</t>
        </is>
      </c>
      <c r="D195" t="n">
        <v>161</v>
      </c>
      <c r="E195" t="n">
        <v>281</v>
      </c>
      <c r="F195" t="inlineStr">
        <is>
          <t>Pântano Venenoso</t>
        </is>
      </c>
      <c r="G195" s="4">
        <f>INDEX('Peça 1'!F:F,MATCH(D195,'Peça 1'!A:A,0))&amp;""</f>
        <v/>
      </c>
      <c r="H195" s="4">
        <f>IF(AND(INDEX('Nomes-base'!B:B,MATCH(F195,'Nomes-base'!A:A,0))="f",INDEX('Peça 2'!G:G,MATCH(E195,'Peça 2'!A:A,0))&amp;""&lt;&gt;""),INDEX('Peça 2'!G:G,MATCH(E195,'Peça 2'!A:A,0))&amp;"",INDEX('Peça 2'!F:F,MATCH(E195,'Peça 2'!A:A,0))&amp;"")</f>
        <v/>
      </c>
      <c r="I195" s="4">
        <f>IF(OR(H195="",ISNUMBER(SEARCH(" ",H195)),INDEX('Nomes-base'!C:C,MATCH(F195,'Nomes-base'!A:A,0))&lt;&gt;"p"),H195,IF(RIGHT(H195,1)="s",H195,IF(RIGHT(H195,1)="l",LEFT(H195,LEN(H195)-1)&amp;"is",IF(OR(RIGHT(H195,1)="r",RIGHT(H195,1)="z"),H195&amp;"es",IF(RIGHT(H195,1)="m",LEFT(H195,LEN(H195)-1)&amp;"ns",H195&amp;"s")))))</f>
        <v/>
      </c>
    </row>
    <row r="196">
      <c r="A196" s="3">
        <f>IF(OR(G196="",I196=""),"(falta traduzir)",F196&amp;" "&amp;I196&amp;" "&amp;G196)</f>
        <v/>
      </c>
      <c r="B196" t="inlineStr">
        <is>
          <t>纯斗怒血斩</t>
        </is>
      </c>
      <c r="C196" t="inlineStr">
        <is>
          <t>Alchemist's Combative Furyblood Cleave</t>
        </is>
      </c>
      <c r="D196" t="n">
        <v>162</v>
      </c>
      <c r="E196" t="n">
        <v>354</v>
      </c>
      <c r="F196" t="inlineStr">
        <is>
          <t>Corte do Sangue Furioso</t>
        </is>
      </c>
      <c r="G196" s="4">
        <f>INDEX('Peça 1'!F:F,MATCH(D196,'Peça 1'!A:A,0))&amp;""</f>
        <v/>
      </c>
      <c r="H196" s="4">
        <f>IF(AND(INDEX('Nomes-base'!B:B,MATCH(F196,'Nomes-base'!A:A,0))="f",INDEX('Peça 2'!G:G,MATCH(E196,'Peça 2'!A:A,0))&amp;""&lt;&gt;""),INDEX('Peça 2'!G:G,MATCH(E196,'Peça 2'!A:A,0))&amp;"",INDEX('Peça 2'!F:F,MATCH(E196,'Peça 2'!A:A,0))&amp;"")</f>
        <v/>
      </c>
      <c r="I196" s="4">
        <f>IF(OR(H196="",ISNUMBER(SEARCH(" ",H196)),INDEX('Nomes-base'!C:C,MATCH(F196,'Nomes-base'!A:A,0))&lt;&gt;"p"),H196,IF(RIGHT(H196,1)="s",H196,IF(RIGHT(H196,1)="l",LEFT(H196,LEN(H196)-1)&amp;"is",IF(OR(RIGHT(H196,1)="r",RIGHT(H196,1)="z"),H196&amp;"es",IF(RIGHT(H196,1)="m",LEFT(H196,LEN(H196)-1)&amp;"ns",H196&amp;"s")))))</f>
        <v/>
      </c>
    </row>
    <row r="197">
      <c r="A197" s="3">
        <f>IF(OR(G197="",I197=""),"(falta traduzir)",F197&amp;" "&amp;I197&amp;" "&amp;G197)</f>
        <v/>
      </c>
      <c r="B197" t="inlineStr">
        <is>
          <t>精心遁</t>
        </is>
      </c>
      <c r="C197" t="inlineStr">
        <is>
          <t>Grinder's Heartfelt Burrow</t>
        </is>
      </c>
      <c r="D197" t="n">
        <v>163</v>
      </c>
      <c r="E197" t="n">
        <v>227</v>
      </c>
      <c r="F197" t="inlineStr">
        <is>
          <t>Escavação</t>
        </is>
      </c>
      <c r="G197" s="4">
        <f>INDEX('Peça 1'!F:F,MATCH(D197,'Peça 1'!A:A,0))&amp;""</f>
        <v/>
      </c>
      <c r="H197" s="4">
        <f>IF(AND(INDEX('Nomes-base'!B:B,MATCH(F197,'Nomes-base'!A:A,0))="f",INDEX('Peça 2'!G:G,MATCH(E197,'Peça 2'!A:A,0))&amp;""&lt;&gt;""),INDEX('Peça 2'!G:G,MATCH(E197,'Peça 2'!A:A,0))&amp;"",INDEX('Peça 2'!F:F,MATCH(E197,'Peça 2'!A:A,0))&amp;"")</f>
        <v/>
      </c>
      <c r="I197" s="4">
        <f>IF(OR(H197="",ISNUMBER(SEARCH(" ",H197)),INDEX('Nomes-base'!C:C,MATCH(F197,'Nomes-base'!A:A,0))&lt;&gt;"p"),H197,IF(RIGHT(H197,1)="s",H197,IF(RIGHT(H197,1)="l",LEFT(H197,LEN(H197)-1)&amp;"is",IF(OR(RIGHT(H197,1)="r",RIGHT(H197,1)="z"),H197&amp;"es",IF(RIGHT(H197,1)="m",LEFT(H197,LEN(H197)-1)&amp;"ns",H197&amp;"s")))))</f>
        <v/>
      </c>
    </row>
    <row r="198">
      <c r="A198" s="3">
        <f>IF(OR(G198="",I198=""),"(falta traduzir)",F198&amp;" "&amp;I198&amp;" "&amp;G198)</f>
        <v/>
      </c>
      <c r="B198" t="inlineStr">
        <is>
          <t>尖河影</t>
        </is>
      </c>
      <c r="C198" t="inlineStr">
        <is>
          <t>Restorer's River-run Shadow</t>
        </is>
      </c>
      <c r="D198" t="n">
        <v>164</v>
      </c>
      <c r="E198" t="n">
        <v>300</v>
      </c>
      <c r="F198" t="inlineStr">
        <is>
          <t>Sombra</t>
        </is>
      </c>
      <c r="G198" s="4">
        <f>INDEX('Peça 1'!F:F,MATCH(D198,'Peça 1'!A:A,0))&amp;""</f>
        <v/>
      </c>
      <c r="H198" s="4">
        <f>IF(AND(INDEX('Nomes-base'!B:B,MATCH(F198,'Nomes-base'!A:A,0))="f",INDEX('Peça 2'!G:G,MATCH(E198,'Peça 2'!A:A,0))&amp;""&lt;&gt;""),INDEX('Peça 2'!G:G,MATCH(E198,'Peça 2'!A:A,0))&amp;"",INDEX('Peça 2'!F:F,MATCH(E198,'Peça 2'!A:A,0))&amp;"")</f>
        <v/>
      </c>
      <c r="I198" s="4">
        <f>IF(OR(H198="",ISNUMBER(SEARCH(" ",H198)),INDEX('Nomes-base'!C:C,MATCH(F198,'Nomes-base'!A:A,0))&lt;&gt;"p"),H198,IF(RIGHT(H198,1)="s",H198,IF(RIGHT(H198,1)="l",LEFT(H198,LEN(H198)-1)&amp;"is",IF(OR(RIGHT(H198,1)="r",RIGHT(H198,1)="z"),H198&amp;"es",IF(RIGHT(H198,1)="m",LEFT(H198,LEN(H198)-1)&amp;"ns",H198&amp;"s")))))</f>
        <v/>
      </c>
    </row>
    <row r="199">
      <c r="A199" s="3">
        <f>IF(OR(G199="",I199=""),"(falta traduzir)",F199&amp;" "&amp;I199&amp;" "&amp;G199)</f>
        <v/>
      </c>
      <c r="B199" t="inlineStr">
        <is>
          <t>回初录</t>
        </is>
      </c>
      <c r="C199" t="inlineStr">
        <is>
          <t>Doppler's First Compendium</t>
        </is>
      </c>
      <c r="D199" t="n">
        <v>165</v>
      </c>
      <c r="E199" t="n">
        <v>373</v>
      </c>
      <c r="F199" t="inlineStr">
        <is>
          <t>Compêndio</t>
        </is>
      </c>
      <c r="G199" s="4">
        <f>INDEX('Peça 1'!F:F,MATCH(D199,'Peça 1'!A:A,0))&amp;""</f>
        <v/>
      </c>
      <c r="H199" s="4">
        <f>IF(AND(INDEX('Nomes-base'!B:B,MATCH(F199,'Nomes-base'!A:A,0))="f",INDEX('Peça 2'!G:G,MATCH(E199,'Peça 2'!A:A,0))&amp;""&lt;&gt;""),INDEX('Peça 2'!G:G,MATCH(E199,'Peça 2'!A:A,0))&amp;"",INDEX('Peça 2'!F:F,MATCH(E199,'Peça 2'!A:A,0))&amp;"")</f>
        <v/>
      </c>
      <c r="I199" s="4">
        <f>IF(OR(H199="",ISNUMBER(SEARCH(" ",H199)),INDEX('Nomes-base'!C:C,MATCH(F199,'Nomes-base'!A:A,0))&lt;&gt;"p"),H199,IF(RIGHT(H199,1)="s",H199,IF(RIGHT(H199,1)="l",LEFT(H199,LEN(H199)-1)&amp;"is",IF(OR(RIGHT(H199,1)="r",RIGHT(H199,1)="z"),H199&amp;"es",IF(RIGHT(H199,1)="m",LEFT(H199,LEN(H199)-1)&amp;"ns",H199&amp;"s")))))</f>
        <v/>
      </c>
    </row>
    <row r="200">
      <c r="A200" s="3">
        <f>IF(OR(G200="",I200=""),"(falta traduzir)",F200&amp;" "&amp;I200&amp;" "&amp;G200)</f>
        <v/>
      </c>
      <c r="B200" t="inlineStr">
        <is>
          <t>两煞雷光术</t>
        </is>
      </c>
      <c r="C200" t="inlineStr">
        <is>
          <t>Veracity's Menacing Voltshot</t>
        </is>
      </c>
      <c r="D200" t="n">
        <v>166</v>
      </c>
      <c r="E200" t="n">
        <v>246</v>
      </c>
      <c r="F200" t="inlineStr">
        <is>
          <t>Disparo Elétrico</t>
        </is>
      </c>
      <c r="G200" s="4">
        <f>INDEX('Peça 1'!F:F,MATCH(D200,'Peça 1'!A:A,0))&amp;""</f>
        <v/>
      </c>
      <c r="H200" s="4">
        <f>IF(AND(INDEX('Nomes-base'!B:B,MATCH(F200,'Nomes-base'!A:A,0))="f",INDEX('Peça 2'!G:G,MATCH(E200,'Peça 2'!A:A,0))&amp;""&lt;&gt;""),INDEX('Peça 2'!G:G,MATCH(E200,'Peça 2'!A:A,0))&amp;"",INDEX('Peça 2'!F:F,MATCH(E200,'Peça 2'!A:A,0))&amp;"")</f>
        <v/>
      </c>
      <c r="I200" s="4">
        <f>IF(OR(H200="",ISNUMBER(SEARCH(" ",H200)),INDEX('Nomes-base'!C:C,MATCH(F200,'Nomes-base'!A:A,0))&lt;&gt;"p"),H200,IF(RIGHT(H200,1)="s",H200,IF(RIGHT(H200,1)="l",LEFT(H200,LEN(H200)-1)&amp;"is",IF(OR(RIGHT(H200,1)="r",RIGHT(H200,1)="z"),H200&amp;"es",IF(RIGHT(H200,1)="m",LEFT(H200,LEN(H200)-1)&amp;"ns",H200&amp;"s")))))</f>
        <v/>
      </c>
    </row>
    <row r="201">
      <c r="A201" s="3">
        <f>IF(OR(G201="",I201=""),"(falta traduzir)",F201&amp;" "&amp;I201&amp;" "&amp;G201)</f>
        <v/>
      </c>
      <c r="B201" t="inlineStr">
        <is>
          <t>一戾霜灵爆</t>
        </is>
      </c>
      <c r="C201" t="inlineStr">
        <is>
          <t>Wafter's Perilous Frost Spirit Blast</t>
        </is>
      </c>
      <c r="D201" t="n">
        <v>167</v>
      </c>
      <c r="E201" t="n">
        <v>319</v>
      </c>
      <c r="F201" t="inlineStr">
        <is>
          <t>Explosão de Espírito Gélido</t>
        </is>
      </c>
      <c r="G201" s="4">
        <f>INDEX('Peça 1'!F:F,MATCH(D201,'Peça 1'!A:A,0))&amp;""</f>
        <v/>
      </c>
      <c r="H201" s="4">
        <f>IF(AND(INDEX('Nomes-base'!B:B,MATCH(F201,'Nomes-base'!A:A,0))="f",INDEX('Peça 2'!G:G,MATCH(E201,'Peça 2'!A:A,0))&amp;""&lt;&gt;""),INDEX('Peça 2'!G:G,MATCH(E201,'Peça 2'!A:A,0))&amp;"",INDEX('Peça 2'!F:F,MATCH(E201,'Peça 2'!A:A,0))&amp;"")</f>
        <v/>
      </c>
      <c r="I201" s="4">
        <f>IF(OR(H201="",ISNUMBER(SEARCH(" ",H201)),INDEX('Nomes-base'!C:C,MATCH(F201,'Nomes-base'!A:A,0))&lt;&gt;"p"),H201,IF(RIGHT(H201,1)="s",H201,IF(RIGHT(H201,1)="l",LEFT(H201,LEN(H201)-1)&amp;"is",IF(OR(RIGHT(H201,1)="r",RIGHT(H201,1)="z"),H201&amp;"es",IF(RIGHT(H201,1)="m",LEFT(H201,LEN(H201)-1)&amp;"ns",H201&amp;"s")))))</f>
        <v/>
      </c>
    </row>
    <row r="202">
      <c r="A202" s="3">
        <f>IF(OR(G202="",I202=""),"(falta traduzir)",F202&amp;" "&amp;I202&amp;" "&amp;G202)</f>
        <v/>
      </c>
      <c r="B202" t="inlineStr">
        <is>
          <t>浮春幻</t>
        </is>
      </c>
      <c r="C202" t="inlineStr">
        <is>
          <t>Millenial's Spring Illusion</t>
        </is>
      </c>
      <c r="D202" t="n">
        <v>168</v>
      </c>
      <c r="E202" t="n">
        <v>392</v>
      </c>
      <c r="F202" t="inlineStr">
        <is>
          <t>Ilusão</t>
        </is>
      </c>
      <c r="G202" s="4">
        <f>INDEX('Peça 1'!F:F,MATCH(D202,'Peça 1'!A:A,0))&amp;""</f>
        <v/>
      </c>
      <c r="H202" s="4">
        <f>IF(AND(INDEX('Nomes-base'!B:B,MATCH(F202,'Nomes-base'!A:A,0))="f",INDEX('Peça 2'!G:G,MATCH(E202,'Peça 2'!A:A,0))&amp;""&lt;&gt;""),INDEX('Peça 2'!G:G,MATCH(E202,'Peça 2'!A:A,0))&amp;"",INDEX('Peça 2'!F:F,MATCH(E202,'Peça 2'!A:A,0))&amp;"")</f>
        <v/>
      </c>
      <c r="I202" s="4">
        <f>IF(OR(H202="",ISNUMBER(SEARCH(" ",H202)),INDEX('Nomes-base'!C:C,MATCH(F202,'Nomes-base'!A:A,0))&lt;&gt;"p"),H202,IF(RIGHT(H202,1)="s",H202,IF(RIGHT(H202,1)="l",LEFT(H202,LEN(H202)-1)&amp;"is",IF(OR(RIGHT(H202,1)="r",RIGHT(H202,1)="z"),H202&amp;"es",IF(RIGHT(H202,1)="m",LEFT(H202,LEN(H202)-1)&amp;"ns",H202&amp;"s")))))</f>
        <v/>
      </c>
    </row>
    <row r="203">
      <c r="A203" s="3">
        <f>IF(OR(G203="",I203=""),"(falta traduzir)",F203&amp;" "&amp;I203&amp;" "&amp;G203)</f>
        <v/>
      </c>
      <c r="B203" t="inlineStr">
        <is>
          <t>万落冲</t>
        </is>
      </c>
      <c r="C203" t="inlineStr">
        <is>
          <t>Ashen's Diving Charge</t>
        </is>
      </c>
      <c r="D203" t="n">
        <v>169</v>
      </c>
      <c r="E203" t="n">
        <v>265</v>
      </c>
      <c r="F203" t="inlineStr">
        <is>
          <t>Carga</t>
        </is>
      </c>
      <c r="G203" s="4">
        <f>INDEX('Peça 1'!F:F,MATCH(D203,'Peça 1'!A:A,0))&amp;""</f>
        <v/>
      </c>
      <c r="H203" s="4">
        <f>IF(AND(INDEX('Nomes-base'!B:B,MATCH(F203,'Nomes-base'!A:A,0))="f",INDEX('Peça 2'!G:G,MATCH(E203,'Peça 2'!A:A,0))&amp;""&lt;&gt;""),INDEX('Peça 2'!G:G,MATCH(E203,'Peça 2'!A:A,0))&amp;"",INDEX('Peça 2'!F:F,MATCH(E203,'Peça 2'!A:A,0))&amp;"")</f>
        <v/>
      </c>
      <c r="I203" s="4">
        <f>IF(OR(H203="",ISNUMBER(SEARCH(" ",H203)),INDEX('Nomes-base'!C:C,MATCH(F203,'Nomes-base'!A:A,0))&lt;&gt;"p"),H203,IF(RIGHT(H203,1)="s",H203,IF(RIGHT(H203,1)="l",LEFT(H203,LEN(H203)-1)&amp;"is",IF(OR(RIGHT(H203,1)="r",RIGHT(H203,1)="z"),H203&amp;"es",IF(RIGHT(H203,1)="m",LEFT(H203,LEN(H203)-1)&amp;"ns",H203&amp;"s")))))</f>
        <v/>
      </c>
    </row>
    <row r="204">
      <c r="A204" s="3">
        <f>IF(OR(G204="",I204=""),"(falta traduzir)",F204&amp;" "&amp;I204&amp;" "&amp;G204)</f>
        <v/>
      </c>
      <c r="B204" t="inlineStr">
        <is>
          <t>烬世劲</t>
        </is>
      </c>
      <c r="C204" t="inlineStr">
        <is>
          <t>Taker's Material Move</t>
        </is>
      </c>
      <c r="D204" t="n">
        <v>170</v>
      </c>
      <c r="E204" t="n">
        <v>338</v>
      </c>
      <c r="F204" t="inlineStr">
        <is>
          <t>Movimentação</t>
        </is>
      </c>
      <c r="G204" s="4">
        <f>INDEX('Peça 1'!F:F,MATCH(D204,'Peça 1'!A:A,0))&amp;""</f>
        <v/>
      </c>
      <c r="H204" s="4">
        <f>IF(AND(INDEX('Nomes-base'!B:B,MATCH(F204,'Nomes-base'!A:A,0))="f",INDEX('Peça 2'!G:G,MATCH(E204,'Peça 2'!A:A,0))&amp;""&lt;&gt;""),INDEX('Peça 2'!G:G,MATCH(E204,'Peça 2'!A:A,0))&amp;"",INDEX('Peça 2'!F:F,MATCH(E204,'Peça 2'!A:A,0))&amp;"")</f>
        <v/>
      </c>
      <c r="I204" s="4">
        <f>IF(OR(H204="",ISNUMBER(SEARCH(" ",H204)),INDEX('Nomes-base'!C:C,MATCH(F204,'Nomes-base'!A:A,0))&lt;&gt;"p"),H204,IF(RIGHT(H204,1)="s",H204,IF(RIGHT(H204,1)="l",LEFT(H204,LEN(H204)-1)&amp;"is",IF(OR(RIGHT(H204,1)="r",RIGHT(H204,1)="z"),H204&amp;"es",IF(RIGHT(H204,1)="m",LEFT(H204,LEN(H204)-1)&amp;"ns",H204&amp;"s")))))</f>
        <v/>
      </c>
    </row>
    <row r="205">
      <c r="A205" s="3">
        <f>IF(OR(G205="",I205=""),"(falta traduzir)",F205&amp;" "&amp;I205&amp;" "&amp;G205)</f>
        <v/>
      </c>
      <c r="B205" t="inlineStr">
        <is>
          <t>摄霜青涛掌</t>
        </is>
      </c>
      <c r="C205" t="inlineStr">
        <is>
          <t>Trinity's Frosty Greenwave Palm</t>
        </is>
      </c>
      <c r="D205" t="n">
        <v>171</v>
      </c>
      <c r="E205" t="n">
        <v>211</v>
      </c>
      <c r="F205" t="inlineStr">
        <is>
          <t>Palma da Onda Verde</t>
        </is>
      </c>
      <c r="G205" s="4">
        <f>INDEX('Peça 1'!F:F,MATCH(D205,'Peça 1'!A:A,0))&amp;""</f>
        <v/>
      </c>
      <c r="H205" s="4">
        <f>IF(AND(INDEX('Nomes-base'!B:B,MATCH(F205,'Nomes-base'!A:A,0))="f",INDEX('Peça 2'!G:G,MATCH(E205,'Peça 2'!A:A,0))&amp;""&lt;&gt;""),INDEX('Peça 2'!G:G,MATCH(E205,'Peça 2'!A:A,0))&amp;"",INDEX('Peça 2'!F:F,MATCH(E205,'Peça 2'!A:A,0))&amp;"")</f>
        <v/>
      </c>
      <c r="I205" s="4">
        <f>IF(OR(H205="",ISNUMBER(SEARCH(" ",H205)),INDEX('Nomes-base'!C:C,MATCH(F205,'Nomes-base'!A:A,0))&lt;&gt;"p"),H205,IF(RIGHT(H205,1)="s",H205,IF(RIGHT(H205,1)="l",LEFT(H205,LEN(H205)-1)&amp;"is",IF(OR(RIGHT(H205,1)="r",RIGHT(H205,1)="z"),H205&amp;"es",IF(RIGHT(H205,1)="m",LEFT(H205,LEN(H205)-1)&amp;"ns",H205&amp;"s")))))</f>
        <v/>
      </c>
    </row>
    <row r="206">
      <c r="A206" s="3">
        <f>IF(OR(G206="",I206=""),"(falta traduzir)",F206&amp;" "&amp;I206&amp;" "&amp;G206)</f>
        <v/>
      </c>
      <c r="B206" t="inlineStr">
        <is>
          <t>三陨灵虚爆</t>
        </is>
      </c>
      <c r="C206" t="inlineStr">
        <is>
          <t>Path's Falling Void Spirit Blast</t>
        </is>
      </c>
      <c r="D206" t="n">
        <v>172</v>
      </c>
      <c r="E206" t="n">
        <v>284</v>
      </c>
      <c r="F206" t="inlineStr">
        <is>
          <t>Explosão de Espírito do Vazio</t>
        </is>
      </c>
      <c r="G206" s="4">
        <f>INDEX('Peça 1'!F:F,MATCH(D206,'Peça 1'!A:A,0))&amp;""</f>
        <v/>
      </c>
      <c r="H206" s="4">
        <f>IF(AND(INDEX('Nomes-base'!B:B,MATCH(F206,'Nomes-base'!A:A,0))="f",INDEX('Peça 2'!G:G,MATCH(E206,'Peça 2'!A:A,0))&amp;""&lt;&gt;""),INDEX('Peça 2'!G:G,MATCH(E206,'Peça 2'!A:A,0))&amp;"",INDEX('Peça 2'!F:F,MATCH(E206,'Peça 2'!A:A,0))&amp;"")</f>
        <v/>
      </c>
      <c r="I206" s="4">
        <f>IF(OR(H206="",ISNUMBER(SEARCH(" ",H206)),INDEX('Nomes-base'!C:C,MATCH(F206,'Nomes-base'!A:A,0))&lt;&gt;"p"),H206,IF(RIGHT(H206,1)="s",H206,IF(RIGHT(H206,1)="l",LEFT(H206,LEN(H206)-1)&amp;"is",IF(OR(RIGHT(H206,1)="r",RIGHT(H206,1)="z"),H206&amp;"es",IF(RIGHT(H206,1)="m",LEFT(H206,LEN(H206)-1)&amp;"ns",H206&amp;"s")))))</f>
        <v/>
      </c>
    </row>
    <row r="207">
      <c r="A207" s="3">
        <f>IF(OR(G207="",I207=""),"(falta traduzir)",F207&amp;" "&amp;I207&amp;" "&amp;G207)</f>
        <v/>
      </c>
      <c r="B207" t="inlineStr">
        <is>
          <t>道璇神功</t>
        </is>
      </c>
      <c r="C207" t="inlineStr">
        <is>
          <t>Intent's Ivory Divine Power</t>
        </is>
      </c>
      <c r="D207" t="n">
        <v>173</v>
      </c>
      <c r="E207" t="n">
        <v>357</v>
      </c>
      <c r="F207" t="inlineStr">
        <is>
          <t>Poder Divino</t>
        </is>
      </c>
      <c r="G207" s="4">
        <f>INDEX('Peça 1'!F:F,MATCH(D207,'Peça 1'!A:A,0))&amp;""</f>
        <v/>
      </c>
      <c r="H207" s="4">
        <f>IF(AND(INDEX('Nomes-base'!B:B,MATCH(F207,'Nomes-base'!A:A,0))="f",INDEX('Peça 2'!G:G,MATCH(E207,'Peça 2'!A:A,0))&amp;""&lt;&gt;""),INDEX('Peça 2'!G:G,MATCH(E207,'Peça 2'!A:A,0))&amp;"",INDEX('Peça 2'!F:F,MATCH(E207,'Peça 2'!A:A,0))&amp;"")</f>
        <v/>
      </c>
      <c r="I207" s="4">
        <f>IF(OR(H207="",ISNUMBER(SEARCH(" ",H207)),INDEX('Nomes-base'!C:C,MATCH(F207,'Nomes-base'!A:A,0))&lt;&gt;"p"),H207,IF(RIGHT(H207,1)="s",H207,IF(RIGHT(H207,1)="l",LEFT(H207,LEN(H207)-1)&amp;"is",IF(OR(RIGHT(H207,1)="r",RIGHT(H207,1)="z"),H207&amp;"es",IF(RIGHT(H207,1)="m",LEFT(H207,LEN(H207)-1)&amp;"ns",H207&amp;"s")))))</f>
        <v/>
      </c>
    </row>
    <row r="208">
      <c r="A208" s="3">
        <f>IF(OR(G208="",I208=""),"(falta traduzir)",F208&amp;" "&amp;I208&amp;" "&amp;G208)</f>
        <v/>
      </c>
      <c r="B208" t="inlineStr">
        <is>
          <t>戾翼舞</t>
        </is>
      </c>
      <c r="C208" t="inlineStr">
        <is>
          <t>Youth's Winged Dance</t>
        </is>
      </c>
      <c r="D208" t="n">
        <v>174</v>
      </c>
      <c r="E208" t="n">
        <v>230</v>
      </c>
      <c r="F208" t="inlineStr">
        <is>
          <t>Dança</t>
        </is>
      </c>
      <c r="G208" s="4">
        <f>INDEX('Peça 1'!F:F,MATCH(D208,'Peça 1'!A:A,0))&amp;""</f>
        <v/>
      </c>
      <c r="H208" s="4">
        <f>IF(AND(INDEX('Nomes-base'!B:B,MATCH(F208,'Nomes-base'!A:A,0))="f",INDEX('Peça 2'!G:G,MATCH(E208,'Peça 2'!A:A,0))&amp;""&lt;&gt;""),INDEX('Peça 2'!G:G,MATCH(E208,'Peça 2'!A:A,0))&amp;"",INDEX('Peça 2'!F:F,MATCH(E208,'Peça 2'!A:A,0))&amp;"")</f>
        <v/>
      </c>
      <c r="I208" s="4">
        <f>IF(OR(H208="",ISNUMBER(SEARCH(" ",H208)),INDEX('Nomes-base'!C:C,MATCH(F208,'Nomes-base'!A:A,0))&lt;&gt;"p"),H208,IF(RIGHT(H208,1)="s",H208,IF(RIGHT(H208,1)="l",LEFT(H208,LEN(H208)-1)&amp;"is",IF(OR(RIGHT(H208,1)="r",RIGHT(H208,1)="z"),H208&amp;"es",IF(RIGHT(H208,1)="m",LEFT(H208,LEN(H208)-1)&amp;"ns",H208&amp;"s")))))</f>
        <v/>
      </c>
    </row>
    <row r="209">
      <c r="A209" s="3">
        <f>IF(OR(G209="",I209=""),"(falta traduzir)",F209&amp;" "&amp;I209&amp;" "&amp;G209)</f>
        <v/>
      </c>
      <c r="B209" t="inlineStr">
        <is>
          <t>少印冰刺术</t>
        </is>
      </c>
      <c r="C209" t="inlineStr">
        <is>
          <t>Sheen's Symbolic Icicle</t>
        </is>
      </c>
      <c r="D209" t="n">
        <v>175</v>
      </c>
      <c r="E209" t="n">
        <v>303</v>
      </c>
      <c r="F209" t="inlineStr">
        <is>
          <t>Pingente de Gelo</t>
        </is>
      </c>
      <c r="G209" s="4">
        <f>INDEX('Peça 1'!F:F,MATCH(D209,'Peça 1'!A:A,0))&amp;""</f>
        <v/>
      </c>
      <c r="H209" s="4">
        <f>IF(AND(INDEX('Nomes-base'!B:B,MATCH(F209,'Nomes-base'!A:A,0))="f",INDEX('Peça 2'!G:G,MATCH(E209,'Peça 2'!A:A,0))&amp;""&lt;&gt;""),INDEX('Peça 2'!G:G,MATCH(E209,'Peça 2'!A:A,0))&amp;"",INDEX('Peça 2'!F:F,MATCH(E209,'Peça 2'!A:A,0))&amp;"")</f>
        <v/>
      </c>
      <c r="I209" s="4">
        <f>IF(OR(H209="",ISNUMBER(SEARCH(" ",H209)),INDEX('Nomes-base'!C:C,MATCH(F209,'Nomes-base'!A:A,0))&lt;&gt;"p"),H209,IF(RIGHT(H209,1)="s",H209,IF(RIGHT(H209,1)="l",LEFT(H209,LEN(H209)-1)&amp;"is",IF(OR(RIGHT(H209,1)="r",RIGHT(H209,1)="z"),H209&amp;"es",IF(RIGHT(H209,1)="m",LEFT(H209,LEN(H209)-1)&amp;"ns",H209&amp;"s")))))</f>
        <v/>
      </c>
    </row>
    <row r="210">
      <c r="A210" s="3">
        <f>IF(OR(G210="",I210=""),"(falta traduzir)",F210&amp;" "&amp;I210&amp;" "&amp;G210)</f>
        <v/>
      </c>
      <c r="B210" t="inlineStr">
        <is>
          <t>耀曲秘卷</t>
        </is>
      </c>
      <c r="C210" t="inlineStr">
        <is>
          <t>Space's Cornering Secret Manual</t>
        </is>
      </c>
      <c r="D210" t="n">
        <v>176</v>
      </c>
      <c r="E210" t="n">
        <v>376</v>
      </c>
      <c r="F210" t="inlineStr">
        <is>
          <t>Manual Secreto</t>
        </is>
      </c>
      <c r="G210" s="4">
        <f>INDEX('Peça 1'!F:F,MATCH(D210,'Peça 1'!A:A,0))&amp;""</f>
        <v/>
      </c>
      <c r="H210" s="4">
        <f>IF(AND(INDEX('Nomes-base'!B:B,MATCH(F210,'Nomes-base'!A:A,0))="f",INDEX('Peça 2'!G:G,MATCH(E210,'Peça 2'!A:A,0))&amp;""&lt;&gt;""),INDEX('Peça 2'!G:G,MATCH(E210,'Peça 2'!A:A,0))&amp;"",INDEX('Peça 2'!F:F,MATCH(E210,'Peça 2'!A:A,0))&amp;"")</f>
        <v/>
      </c>
      <c r="I210" s="4">
        <f>IF(OR(H210="",ISNUMBER(SEARCH(" ",H210)),INDEX('Nomes-base'!C:C,MATCH(F210,'Nomes-base'!A:A,0))&lt;&gt;"p"),H210,IF(RIGHT(H210,1)="s",H210,IF(RIGHT(H210,1)="l",LEFT(H210,LEN(H210)-1)&amp;"is",IF(OR(RIGHT(H210,1)="r",RIGHT(H210,1)="z"),H210&amp;"es",IF(RIGHT(H210,1)="m",LEFT(H210,LEN(H210)-1)&amp;"ns",H210&amp;"s")))))</f>
        <v/>
      </c>
    </row>
    <row r="211">
      <c r="A211" s="3">
        <f>IF(OR(G211="",I211=""),"(falta traduzir)",F211&amp;" "&amp;I211&amp;" "&amp;G211)</f>
        <v/>
      </c>
      <c r="B211" t="inlineStr">
        <is>
          <t>空虎风刃术</t>
        </is>
      </c>
      <c r="C211" t="inlineStr">
        <is>
          <t>Shaper's Tigris Wind Edge</t>
        </is>
      </c>
      <c r="D211" t="n">
        <v>177</v>
      </c>
      <c r="E211" t="n">
        <v>249</v>
      </c>
      <c r="F211" t="inlineStr">
        <is>
          <t>Gume do Vento</t>
        </is>
      </c>
      <c r="G211" s="4">
        <f>INDEX('Peça 1'!F:F,MATCH(D211,'Peça 1'!A:A,0))&amp;""</f>
        <v/>
      </c>
      <c r="H211" s="4">
        <f>IF(AND(INDEX('Nomes-base'!B:B,MATCH(F211,'Nomes-base'!A:A,0))="f",INDEX('Peça 2'!G:G,MATCH(E211,'Peça 2'!A:A,0))&amp;""&lt;&gt;""),INDEX('Peça 2'!G:G,MATCH(E211,'Peça 2'!A:A,0))&amp;"",INDEX('Peça 2'!F:F,MATCH(E211,'Peça 2'!A:A,0))&amp;"")</f>
        <v/>
      </c>
      <c r="I211" s="4">
        <f>IF(OR(H211="",ISNUMBER(SEARCH(" ",H211)),INDEX('Nomes-base'!C:C,MATCH(F211,'Nomes-base'!A:A,0))&lt;&gt;"p"),H211,IF(RIGHT(H211,1)="s",H211,IF(RIGHT(H211,1)="l",LEFT(H211,LEN(H211)-1)&amp;"is",IF(OR(RIGHT(H211,1)="r",RIGHT(H211,1)="z"),H211&amp;"es",IF(RIGHT(H211,1)="m",LEFT(H211,LEN(H211)-1)&amp;"ns",H211&amp;"s")))))</f>
        <v/>
      </c>
    </row>
    <row r="212">
      <c r="A212" s="3">
        <f>IF(OR(G212="",I212=""),"(falta traduzir)",F212&amp;" "&amp;I212&amp;" "&amp;G212)</f>
        <v/>
      </c>
      <c r="B212" t="inlineStr">
        <is>
          <t>形雁破体拳</t>
        </is>
      </c>
      <c r="C212" t="inlineStr">
        <is>
          <t>Looker's Anserine Shadowy Fist</t>
        </is>
      </c>
      <c r="D212" t="n">
        <v>178</v>
      </c>
      <c r="E212" t="n">
        <v>322</v>
      </c>
      <c r="F212" t="inlineStr">
        <is>
          <t>Punho Sombrio</t>
        </is>
      </c>
      <c r="G212" s="4">
        <f>INDEX('Peça 1'!F:F,MATCH(D212,'Peça 1'!A:A,0))&amp;""</f>
        <v/>
      </c>
      <c r="H212" s="4">
        <f>IF(AND(INDEX('Nomes-base'!B:B,MATCH(F212,'Nomes-base'!A:A,0))="f",INDEX('Peça 2'!G:G,MATCH(E212,'Peça 2'!A:A,0))&amp;""&lt;&gt;""),INDEX('Peça 2'!G:G,MATCH(E212,'Peça 2'!A:A,0))&amp;"",INDEX('Peça 2'!F:F,MATCH(E212,'Peça 2'!A:A,0))&amp;"")</f>
        <v/>
      </c>
      <c r="I212" s="4">
        <f>IF(OR(H212="",ISNUMBER(SEARCH(" ",H212)),INDEX('Nomes-base'!C:C,MATCH(F212,'Nomes-base'!A:A,0))&lt;&gt;"p"),H212,IF(RIGHT(H212,1)="s",H212,IF(RIGHT(H212,1)="l",LEFT(H212,LEN(H212)-1)&amp;"is",IF(OR(RIGHT(H212,1)="r",RIGHT(H212,1)="z"),H212&amp;"es",IF(RIGHT(H212,1)="m",LEFT(H212,LEN(H212)-1)&amp;"ns",H212&amp;"s")))))</f>
        <v/>
      </c>
    </row>
    <row r="213">
      <c r="A213" s="3">
        <f>IF(OR(G213="",I213=""),"(falta traduzir)",F213&amp;" "&amp;I213&amp;" "&amp;G213)</f>
        <v/>
      </c>
      <c r="B213" t="inlineStr">
        <is>
          <t>望巽闪</t>
        </is>
      </c>
      <c r="C213" t="inlineStr">
        <is>
          <t>Nirvana's Windy Flash</t>
        </is>
      </c>
      <c r="D213" t="n">
        <v>179</v>
      </c>
      <c r="E213" t="n">
        <v>395</v>
      </c>
      <c r="F213" t="inlineStr">
        <is>
          <t>Lampejo</t>
        </is>
      </c>
      <c r="G213" s="4">
        <f>INDEX('Peça 1'!F:F,MATCH(D213,'Peça 1'!A:A,0))&amp;""</f>
        <v/>
      </c>
      <c r="H213" s="4">
        <f>IF(AND(INDEX('Nomes-base'!B:B,MATCH(F213,'Nomes-base'!A:A,0))="f",INDEX('Peça 2'!G:G,MATCH(E213,'Peça 2'!A:A,0))&amp;""&lt;&gt;""),INDEX('Peça 2'!G:G,MATCH(E213,'Peça 2'!A:A,0))&amp;"",INDEX('Peça 2'!F:F,MATCH(E213,'Peça 2'!A:A,0))&amp;"")</f>
        <v/>
      </c>
      <c r="I213" s="4">
        <f>IF(OR(H213="",ISNUMBER(SEARCH(" ",H213)),INDEX('Nomes-base'!C:C,MATCH(F213,'Nomes-base'!A:A,0))&lt;&gt;"p"),H213,IF(RIGHT(H213,1)="s",H213,IF(RIGHT(H213,1)="l",LEFT(H213,LEN(H213)-1)&amp;"is",IF(OR(RIGHT(H213,1)="r",RIGHT(H213,1)="z"),H213&amp;"es",IF(RIGHT(H213,1)="m",LEFT(H213,LEN(H213)-1)&amp;"ns",H213&amp;"s")))))</f>
        <v/>
      </c>
    </row>
    <row r="214">
      <c r="A214" s="3">
        <f>IF(OR(G214="",I214=""),"(falta traduzir)",F214&amp;" "&amp;I214&amp;" "&amp;G214)</f>
        <v/>
      </c>
      <c r="B214" t="inlineStr">
        <is>
          <t>涅清步</t>
        </is>
      </c>
      <c r="C214" t="inlineStr">
        <is>
          <t>Coal's Pure Step</t>
        </is>
      </c>
      <c r="D214" t="n">
        <v>180</v>
      </c>
      <c r="E214" t="n">
        <v>268</v>
      </c>
      <c r="F214" t="inlineStr">
        <is>
          <t>Passo</t>
        </is>
      </c>
      <c r="G214" s="4">
        <f>INDEX('Peça 1'!F:F,MATCH(D214,'Peça 1'!A:A,0))&amp;""</f>
        <v/>
      </c>
      <c r="H214" s="4">
        <f>IF(AND(INDEX('Nomes-base'!B:B,MATCH(F214,'Nomes-base'!A:A,0))="f",INDEX('Peça 2'!G:G,MATCH(E214,'Peça 2'!A:A,0))&amp;""&lt;&gt;""),INDEX('Peça 2'!G:G,MATCH(E214,'Peça 2'!A:A,0))&amp;"",INDEX('Peça 2'!F:F,MATCH(E214,'Peça 2'!A:A,0))&amp;"")</f>
        <v/>
      </c>
      <c r="I214" s="4">
        <f>IF(OR(H214="",ISNUMBER(SEARCH(" ",H214)),INDEX('Nomes-base'!C:C,MATCH(F214,'Nomes-base'!A:A,0))&lt;&gt;"p"),H214,IF(RIGHT(H214,1)="s",H214,IF(RIGHT(H214,1)="l",LEFT(H214,LEN(H214)-1)&amp;"is",IF(OR(RIGHT(H214,1)="r",RIGHT(H214,1)="z"),H214&amp;"es",IF(RIGHT(H214,1)="m",LEFT(H214,LEN(H214)-1)&amp;"ns",H214&amp;"s")))))</f>
        <v/>
      </c>
    </row>
    <row r="215">
      <c r="A215" s="3">
        <f>IF(OR(G215="",I215=""),"(falta traduzir)",F215&amp;" "&amp;I215&amp;" "&amp;G215)</f>
        <v/>
      </c>
      <c r="B215" t="inlineStr">
        <is>
          <t>燃明式</t>
        </is>
      </c>
      <c r="C215" t="inlineStr">
        <is>
          <t>Opener's Bright Technique</t>
        </is>
      </c>
      <c r="D215" t="n">
        <v>181</v>
      </c>
      <c r="E215" t="n">
        <v>341</v>
      </c>
      <c r="F215" t="inlineStr">
        <is>
          <t>Técnica</t>
        </is>
      </c>
      <c r="G215" s="4">
        <f>INDEX('Peça 1'!F:F,MATCH(D215,'Peça 1'!A:A,0))&amp;""</f>
        <v/>
      </c>
      <c r="H215" s="4">
        <f>IF(AND(INDEX('Nomes-base'!B:B,MATCH(F215,'Nomes-base'!A:A,0))="f",INDEX('Peça 2'!G:G,MATCH(E215,'Peça 2'!A:A,0))&amp;""&lt;&gt;""),INDEX('Peça 2'!G:G,MATCH(E215,'Peça 2'!A:A,0))&amp;"",INDEX('Peça 2'!F:F,MATCH(E215,'Peça 2'!A:A,0))&amp;"")</f>
        <v/>
      </c>
      <c r="I215" s="4">
        <f>IF(OR(H215="",ISNUMBER(SEARCH(" ",H215)),INDEX('Nomes-base'!C:C,MATCH(F215,'Nomes-base'!A:A,0))&lt;&gt;"p"),H215,IF(RIGHT(H215,1)="s",H215,IF(RIGHT(H215,1)="l",LEFT(H215,LEN(H215)-1)&amp;"is",IF(OR(RIGHT(H215,1)="r",RIGHT(H215,1)="z"),H215&amp;"es",IF(RIGHT(H215,1)="m",LEFT(H215,LEN(H215)-1)&amp;"ns",H215&amp;"s")))))</f>
        <v/>
      </c>
    </row>
    <row r="216">
      <c r="A216" s="3">
        <f>IF(OR(G216="",I216=""),"(falta traduzir)",F216&amp;" "&amp;I216&amp;" "&amp;G216)</f>
        <v/>
      </c>
      <c r="B216" t="inlineStr">
        <is>
          <t>开气旋风刀</t>
        </is>
      </c>
      <c r="C216" t="inlineStr">
        <is>
          <t>Candor's Airy Whirlwind Blade</t>
        </is>
      </c>
      <c r="D216" t="n">
        <v>182</v>
      </c>
      <c r="E216" t="n">
        <v>214</v>
      </c>
      <c r="F216" t="inlineStr">
        <is>
          <t>Lâmina do Redemoinho</t>
        </is>
      </c>
      <c r="G216" s="4">
        <f>INDEX('Peça 1'!F:F,MATCH(D216,'Peça 1'!A:A,0))&amp;""</f>
        <v/>
      </c>
      <c r="H216" s="4">
        <f>IF(AND(INDEX('Nomes-base'!B:B,MATCH(F216,'Nomes-base'!A:A,0))="f",INDEX('Peça 2'!G:G,MATCH(E216,'Peça 2'!A:A,0))&amp;""&lt;&gt;""),INDEX('Peça 2'!G:G,MATCH(E216,'Peça 2'!A:A,0))&amp;"",INDEX('Peça 2'!F:F,MATCH(E216,'Peça 2'!A:A,0))&amp;"")</f>
        <v/>
      </c>
      <c r="I216" s="4">
        <f>IF(OR(H216="",ISNUMBER(SEARCH(" ",H216)),INDEX('Nomes-base'!C:C,MATCH(F216,'Nomes-base'!A:A,0))&lt;&gt;"p"),H216,IF(RIGHT(H216,1)="s",H216,IF(RIGHT(H216,1)="l",LEFT(H216,LEN(H216)-1)&amp;"is",IF(OR(RIGHT(H216,1)="r",RIGHT(H216,1)="z"),H216&amp;"es",IF(RIGHT(H216,1)="m",LEFT(H216,LEN(H216)-1)&amp;"ns",H216&amp;"s")))))</f>
        <v/>
      </c>
    </row>
    <row r="217">
      <c r="A217" s="3">
        <f>IF(OR(G217="",I217=""),"(falta traduzir)",F217&amp;" "&amp;I217&amp;" "&amp;G217)</f>
        <v/>
      </c>
      <c r="B217" t="inlineStr">
        <is>
          <t>正沙落雷阵</t>
        </is>
      </c>
      <c r="C217" t="inlineStr">
        <is>
          <t>Chao's Sandy Lightning Crash</t>
        </is>
      </c>
      <c r="D217" t="n">
        <v>183</v>
      </c>
      <c r="E217" t="n">
        <v>287</v>
      </c>
      <c r="F217" t="inlineStr">
        <is>
          <t>Colapso do Relâmpago</t>
        </is>
      </c>
      <c r="G217" s="4">
        <f>INDEX('Peça 1'!F:F,MATCH(D217,'Peça 1'!A:A,0))&amp;""</f>
        <v/>
      </c>
      <c r="H217" s="4">
        <f>IF(AND(INDEX('Nomes-base'!B:B,MATCH(F217,'Nomes-base'!A:A,0))="f",INDEX('Peça 2'!G:G,MATCH(E217,'Peça 2'!A:A,0))&amp;""&lt;&gt;""),INDEX('Peça 2'!G:G,MATCH(E217,'Peça 2'!A:A,0))&amp;"",INDEX('Peça 2'!F:F,MATCH(E217,'Peça 2'!A:A,0))&amp;"")</f>
        <v/>
      </c>
      <c r="I217" s="4">
        <f>IF(OR(H217="",ISNUMBER(SEARCH(" ",H217)),INDEX('Nomes-base'!C:C,MATCH(F217,'Nomes-base'!A:A,0))&lt;&gt;"p"),H217,IF(RIGHT(H217,1)="s",H217,IF(RIGHT(H217,1)="l",LEFT(H217,LEN(H217)-1)&amp;"is",IF(OR(RIGHT(H217,1)="r",RIGHT(H217,1)="z"),H217&amp;"es",IF(RIGHT(H217,1)="m",LEFT(H217,LEN(H217)-1)&amp;"ns",H217&amp;"s")))))</f>
        <v/>
      </c>
    </row>
    <row r="218">
      <c r="A218" s="3">
        <f>IF(OR(G218="",I218=""),"(falta traduzir)",F218&amp;" "&amp;I218&amp;" "&amp;G218)</f>
        <v/>
      </c>
      <c r="B218" t="inlineStr">
        <is>
          <t>浑蚀大法</t>
        </is>
      </c>
      <c r="C218" t="inlineStr">
        <is>
          <t>Viewer's Gnawing Mastery</t>
        </is>
      </c>
      <c r="D218" t="n">
        <v>184</v>
      </c>
      <c r="E218" t="n">
        <v>360</v>
      </c>
      <c r="F218" t="inlineStr">
        <is>
          <t>Mestria</t>
        </is>
      </c>
      <c r="G218" s="4">
        <f>INDEX('Peça 1'!F:F,MATCH(D218,'Peça 1'!A:A,0))&amp;""</f>
        <v/>
      </c>
      <c r="H218" s="4">
        <f>IF(AND(INDEX('Nomes-base'!B:B,MATCH(F218,'Nomes-base'!A:A,0))="f",INDEX('Peça 2'!G:G,MATCH(E218,'Peça 2'!A:A,0))&amp;""&lt;&gt;""),INDEX('Peça 2'!G:G,MATCH(E218,'Peça 2'!A:A,0))&amp;"",INDEX('Peça 2'!F:F,MATCH(E218,'Peça 2'!A:A,0))&amp;"")</f>
        <v/>
      </c>
      <c r="I218" s="4">
        <f>IF(OR(H218="",ISNUMBER(SEARCH(" ",H218)),INDEX('Nomes-base'!C:C,MATCH(F218,'Nomes-base'!A:A,0))&lt;&gt;"p"),H218,IF(RIGHT(H218,1)="s",H218,IF(RIGHT(H218,1)="l",LEFT(H218,LEN(H218)-1)&amp;"is",IF(OR(RIGHT(H218,1)="r",RIGHT(H218,1)="z"),H218&amp;"es",IF(RIGHT(H218,1)="m",LEFT(H218,LEN(H218)-1)&amp;"ns",H218&amp;"s")))))</f>
        <v/>
      </c>
    </row>
    <row r="219">
      <c r="A219" s="3">
        <f>IF(OR(G219="",I219=""),"(falta traduzir)",F219&amp;" "&amp;I219&amp;" "&amp;G219)</f>
        <v/>
      </c>
      <c r="B219" t="inlineStr">
        <is>
          <t>朝莲突</t>
        </is>
      </c>
      <c r="C219" t="inlineStr">
        <is>
          <t>Splitter's Blooming Dash</t>
        </is>
      </c>
      <c r="D219" t="n">
        <v>185</v>
      </c>
      <c r="E219" t="n">
        <v>233</v>
      </c>
      <c r="F219" t="inlineStr">
        <is>
          <t>Arrancada</t>
        </is>
      </c>
      <c r="G219" s="4">
        <f>INDEX('Peça 1'!F:F,MATCH(D219,'Peça 1'!A:A,0))&amp;""</f>
        <v/>
      </c>
      <c r="H219" s="4">
        <f>IF(AND(INDEX('Nomes-base'!B:B,MATCH(F219,'Nomes-base'!A:A,0))="f",INDEX('Peça 2'!G:G,MATCH(E219,'Peça 2'!A:A,0))&amp;""&lt;&gt;""),INDEX('Peça 2'!G:G,MATCH(E219,'Peça 2'!A:A,0))&amp;"",INDEX('Peça 2'!F:F,MATCH(E219,'Peça 2'!A:A,0))&amp;"")</f>
        <v/>
      </c>
      <c r="I219" s="4">
        <f>IF(OR(H219="",ISNUMBER(SEARCH(" ",H219)),INDEX('Nomes-base'!C:C,MATCH(F219,'Nomes-base'!A:A,0))&lt;&gt;"p"),H219,IF(RIGHT(H219,1)="s",H219,IF(RIGHT(H219,1)="l",LEFT(H219,LEN(H219)-1)&amp;"is",IF(OR(RIGHT(H219,1)="r",RIGHT(H219,1)="z"),H219&amp;"es",IF(RIGHT(H219,1)="m",LEFT(H219,LEN(H219)-1)&amp;"ns",H219&amp;"s")))))</f>
        <v/>
      </c>
    </row>
    <row r="220">
      <c r="A220" s="3">
        <f>IF(OR(G220="",I220=""),"(falta traduzir)",F220&amp;" "&amp;I220&amp;" "&amp;G220)</f>
        <v/>
      </c>
      <c r="B220" t="inlineStr">
        <is>
          <t>分幻冰天眼</t>
        </is>
      </c>
      <c r="C220" t="inlineStr">
        <is>
          <t>Twin's Marvelous Heavenly Icy Eye</t>
        </is>
      </c>
      <c r="D220" t="n">
        <v>186</v>
      </c>
      <c r="E220" t="n">
        <v>306</v>
      </c>
      <c r="F220" t="inlineStr">
        <is>
          <t>Olhar Gélido Celestial</t>
        </is>
      </c>
      <c r="G220" s="4">
        <f>INDEX('Peça 1'!F:F,MATCH(D220,'Peça 1'!A:A,0))&amp;""</f>
        <v/>
      </c>
      <c r="H220" s="4">
        <f>IF(AND(INDEX('Nomes-base'!B:B,MATCH(F220,'Nomes-base'!A:A,0))="f",INDEX('Peça 2'!G:G,MATCH(E220,'Peça 2'!A:A,0))&amp;""&lt;&gt;""),INDEX('Peça 2'!G:G,MATCH(E220,'Peça 2'!A:A,0))&amp;"",INDEX('Peça 2'!F:F,MATCH(E220,'Peça 2'!A:A,0))&amp;"")</f>
        <v/>
      </c>
      <c r="I220" s="4">
        <f>IF(OR(H220="",ISNUMBER(SEARCH(" ",H220)),INDEX('Nomes-base'!C:C,MATCH(F220,'Nomes-base'!A:A,0))&lt;&gt;"p"),H220,IF(RIGHT(H220,1)="s",H220,IF(RIGHT(H220,1)="l",LEFT(H220,LEN(H220)-1)&amp;"is",IF(OR(RIGHT(H220,1)="r",RIGHT(H220,1)="z"),H220&amp;"es",IF(RIGHT(H220,1)="m",LEFT(H220,LEN(H220)-1)&amp;"ns",H220&amp;"s")))))</f>
        <v/>
      </c>
    </row>
    <row r="221">
      <c r="A221" s="3">
        <f>IF(OR(G221="",I221=""),"(falta traduzir)",F221&amp;" "&amp;I221&amp;" "&amp;G221)</f>
        <v/>
      </c>
      <c r="B221" t="inlineStr">
        <is>
          <t>双殒隐</t>
        </is>
      </c>
      <c r="C221" t="inlineStr">
        <is>
          <t>Step's Meteoric Stealth</t>
        </is>
      </c>
      <c r="D221" t="n">
        <v>187</v>
      </c>
      <c r="E221" t="n">
        <v>379</v>
      </c>
      <c r="F221" t="inlineStr">
        <is>
          <t>Furtividade</t>
        </is>
      </c>
      <c r="G221" s="4">
        <f>INDEX('Peça 1'!F:F,MATCH(D221,'Peça 1'!A:A,0))&amp;""</f>
        <v/>
      </c>
      <c r="H221" s="4">
        <f>IF(AND(INDEX('Nomes-base'!B:B,MATCH(F221,'Nomes-base'!A:A,0))="f",INDEX('Peça 2'!G:G,MATCH(E221,'Peça 2'!A:A,0))&amp;""&lt;&gt;""),INDEX('Peça 2'!G:G,MATCH(E221,'Peça 2'!A:A,0))&amp;"",INDEX('Peça 2'!F:F,MATCH(E221,'Peça 2'!A:A,0))&amp;"")</f>
        <v/>
      </c>
      <c r="I221" s="4">
        <f>IF(OR(H221="",ISNUMBER(SEARCH(" ",H221)),INDEX('Nomes-base'!C:C,MATCH(F221,'Nomes-base'!A:A,0))&lt;&gt;"p"),H221,IF(RIGHT(H221,1)="s",H221,IF(RIGHT(H221,1)="l",LEFT(H221,LEN(H221)-1)&amp;"is",IF(OR(RIGHT(H221,1)="r",RIGHT(H221,1)="z"),H221&amp;"es",IF(RIGHT(H221,1)="m",LEFT(H221,LEN(H221)-1)&amp;"ns",H221&amp;"s")))))</f>
        <v/>
      </c>
    </row>
    <row r="222">
      <c r="A222" s="3">
        <f>IF(OR(G222="",I222=""),"(falta traduzir)",F222&amp;" "&amp;I222&amp;" "&amp;G222)</f>
        <v/>
      </c>
      <c r="B222" t="inlineStr">
        <is>
          <t>踏瘴惊虹掌</t>
        </is>
      </c>
      <c r="C222" t="inlineStr">
        <is>
          <t>Nihil's Miasmic Rainbow Palm</t>
        </is>
      </c>
      <c r="D222" t="n">
        <v>188</v>
      </c>
      <c r="E222" t="n">
        <v>252</v>
      </c>
      <c r="F222" t="inlineStr">
        <is>
          <t>Palma Arco-Íris</t>
        </is>
      </c>
      <c r="G222" s="4">
        <f>INDEX('Peça 1'!F:F,MATCH(D222,'Peça 1'!A:A,0))&amp;""</f>
        <v/>
      </c>
      <c r="H222" s="4">
        <f>IF(AND(INDEX('Nomes-base'!B:B,MATCH(F222,'Nomes-base'!A:A,0))="f",INDEX('Peça 2'!G:G,MATCH(E222,'Peça 2'!A:A,0))&amp;""&lt;&gt;""),INDEX('Peça 2'!G:G,MATCH(E222,'Peça 2'!A:A,0))&amp;"",INDEX('Peça 2'!F:F,MATCH(E222,'Peça 2'!A:A,0))&amp;"")</f>
        <v/>
      </c>
      <c r="I222" s="4">
        <f>IF(OR(H222="",ISNUMBER(SEARCH(" ",H222)),INDEX('Nomes-base'!C:C,MATCH(F222,'Nomes-base'!A:A,0))&lt;&gt;"p"),H222,IF(RIGHT(H222,1)="s",H222,IF(RIGHT(H222,1)="l",LEFT(H222,LEN(H222)-1)&amp;"is",IF(OR(RIGHT(H222,1)="r",RIGHT(H222,1)="z"),H222&amp;"es",IF(RIGHT(H222,1)="m",LEFT(H222,LEN(H222)-1)&amp;"ns",H222&amp;"s")))))</f>
        <v/>
      </c>
    </row>
    <row r="223">
      <c r="A223" s="3">
        <f>IF(OR(G223="",I223=""),"(falta traduzir)",F223&amp;" "&amp;I223&amp;" "&amp;G223)</f>
        <v/>
      </c>
      <c r="B223" t="inlineStr">
        <is>
          <t>湮合裂地拳</t>
        </is>
      </c>
      <c r="C223" t="inlineStr">
        <is>
          <t>Clawer's United Seismic Fist</t>
        </is>
      </c>
      <c r="D223" t="n">
        <v>189</v>
      </c>
      <c r="E223" t="n">
        <v>325</v>
      </c>
      <c r="F223" t="inlineStr">
        <is>
          <t>Punho Sísmico</t>
        </is>
      </c>
      <c r="G223" s="4">
        <f>INDEX('Peça 1'!F:F,MATCH(D223,'Peça 1'!A:A,0))&amp;""</f>
        <v/>
      </c>
      <c r="H223" s="4">
        <f>IF(AND(INDEX('Nomes-base'!B:B,MATCH(F223,'Nomes-base'!A:A,0))="f",INDEX('Peça 2'!G:G,MATCH(E223,'Peça 2'!A:A,0))&amp;""&lt;&gt;""),INDEX('Peça 2'!G:G,MATCH(E223,'Peça 2'!A:A,0))&amp;"",INDEX('Peça 2'!F:F,MATCH(E223,'Peça 2'!A:A,0))&amp;"")</f>
        <v/>
      </c>
      <c r="I223" s="4">
        <f>IF(OR(H223="",ISNUMBER(SEARCH(" ",H223)),INDEX('Nomes-base'!C:C,MATCH(F223,'Nomes-base'!A:A,0))&lt;&gt;"p"),H223,IF(RIGHT(H223,1)="s",H223,IF(RIGHT(H223,1)="l",LEFT(H223,LEN(H223)-1)&amp;"is",IF(OR(RIGHT(H223,1)="r",RIGHT(H223,1)="z"),H223&amp;"es",IF(RIGHT(H223,1)="m",LEFT(H223,LEN(H223)-1)&amp;"ns",H223&amp;"s")))))</f>
        <v/>
      </c>
    </row>
    <row r="224">
      <c r="A224" s="3">
        <f>IF(OR(G224="",I224=""),"(falta traduzir)",F224&amp;" "&amp;I224&amp;" "&amp;G224)</f>
        <v/>
      </c>
      <c r="B224" t="inlineStr">
        <is>
          <t>凶东卷</t>
        </is>
      </c>
      <c r="C224" t="inlineStr">
        <is>
          <t>Biter's Northern Tornado</t>
        </is>
      </c>
      <c r="D224" t="n">
        <v>190</v>
      </c>
      <c r="E224" t="n">
        <v>398</v>
      </c>
      <c r="F224" t="inlineStr">
        <is>
          <t>Tornado</t>
        </is>
      </c>
      <c r="G224" s="4">
        <f>INDEX('Peça 1'!F:F,MATCH(D224,'Peça 1'!A:A,0))&amp;""</f>
        <v/>
      </c>
      <c r="H224" s="4">
        <f>IF(AND(INDEX('Nomes-base'!B:B,MATCH(F224,'Nomes-base'!A:A,0))="f",INDEX('Peça 2'!G:G,MATCH(E224,'Peça 2'!A:A,0))&amp;""&lt;&gt;""),INDEX('Peça 2'!G:G,MATCH(E224,'Peça 2'!A:A,0))&amp;"",INDEX('Peça 2'!F:F,MATCH(E224,'Peça 2'!A:A,0))&amp;"")</f>
        <v/>
      </c>
      <c r="I224" s="4">
        <f>IF(OR(H224="",ISNUMBER(SEARCH(" ",H224)),INDEX('Nomes-base'!C:C,MATCH(F224,'Nomes-base'!A:A,0))&lt;&gt;"p"),H224,IF(RIGHT(H224,1)="s",H224,IF(RIGHT(H224,1)="l",LEFT(H224,LEN(H224)-1)&amp;"is",IF(OR(RIGHT(H224,1)="r",RIGHT(H224,1)="z"),H224&amp;"es",IF(RIGHT(H224,1)="m",LEFT(H224,LEN(H224)-1)&amp;"ns",H224&amp;"s")))))</f>
        <v/>
      </c>
    </row>
    <row r="225">
      <c r="A225" s="3">
        <f>IF(OR(G225="",I225=""),"(falta traduzir)",F225&amp;" "&amp;I225&amp;" "&amp;G225)</f>
        <v/>
      </c>
      <c r="B225" t="inlineStr">
        <is>
          <t>猛啸水灵术</t>
        </is>
      </c>
      <c r="C225" t="inlineStr">
        <is>
          <t>Lasher's Roaring Spiritual Water</t>
        </is>
      </c>
      <c r="D225" t="n">
        <v>191</v>
      </c>
      <c r="E225" t="n">
        <v>271</v>
      </c>
      <c r="F225" t="inlineStr">
        <is>
          <t>Água Espiritual</t>
        </is>
      </c>
      <c r="G225" s="4">
        <f>INDEX('Peça 1'!F:F,MATCH(D225,'Peça 1'!A:A,0))&amp;""</f>
        <v/>
      </c>
      <c r="H225" s="4">
        <f>IF(AND(INDEX('Nomes-base'!B:B,MATCH(F225,'Nomes-base'!A:A,0))="f",INDEX('Peça 2'!G:G,MATCH(E225,'Peça 2'!A:A,0))&amp;""&lt;&gt;""),INDEX('Peça 2'!G:G,MATCH(E225,'Peça 2'!A:A,0))&amp;"",INDEX('Peça 2'!F:F,MATCH(E225,'Peça 2'!A:A,0))&amp;"")</f>
        <v/>
      </c>
      <c r="I225" s="4">
        <f>IF(OR(H225="",ISNUMBER(SEARCH(" ",H225)),INDEX('Nomes-base'!C:C,MATCH(F225,'Nomes-base'!A:A,0))&lt;&gt;"p"),H225,IF(RIGHT(H225,1)="s",H225,IF(RIGHT(H225,1)="l",LEFT(H225,LEN(H225)-1)&amp;"is",IF(OR(RIGHT(H225,1)="r",RIGHT(H225,1)="z"),H225&amp;"es",IF(RIGHT(H225,1)="m",LEFT(H225,LEN(H225)-1)&amp;"ns",H225&amp;"s")))))</f>
        <v/>
      </c>
    </row>
    <row r="226">
      <c r="A226" s="3">
        <f>IF(OR(G226="",I226=""),"(falta traduzir)",F226&amp;" "&amp;I226&amp;" "&amp;G226)</f>
        <v/>
      </c>
      <c r="B226" t="inlineStr">
        <is>
          <t>索行诀</t>
        </is>
      </c>
      <c r="C226" t="inlineStr">
        <is>
          <t>Binder's Walking Guide</t>
        </is>
      </c>
      <c r="D226" t="n">
        <v>192</v>
      </c>
      <c r="E226" t="n">
        <v>344</v>
      </c>
      <c r="F226" t="inlineStr">
        <is>
          <t>Guia</t>
        </is>
      </c>
      <c r="G226" s="4">
        <f>INDEX('Peça 1'!F:F,MATCH(D226,'Peça 1'!A:A,0))&amp;""</f>
        <v/>
      </c>
      <c r="H226" s="4">
        <f>IF(AND(INDEX('Nomes-base'!B:B,MATCH(F226,'Nomes-base'!A:A,0))="f",INDEX('Peça 2'!G:G,MATCH(E226,'Peça 2'!A:A,0))&amp;""&lt;&gt;""),INDEX('Peça 2'!G:G,MATCH(E226,'Peça 2'!A:A,0))&amp;"",INDEX('Peça 2'!F:F,MATCH(E226,'Peça 2'!A:A,0))&amp;"")</f>
        <v/>
      </c>
      <c r="I226" s="4">
        <f>IF(OR(H226="",ISNUMBER(SEARCH(" ",H226)),INDEX('Nomes-base'!C:C,MATCH(F226,'Nomes-base'!A:A,0))&lt;&gt;"p"),H226,IF(RIGHT(H226,1)="s",H226,IF(RIGHT(H226,1)="l",LEFT(H226,LEN(H226)-1)&amp;"is",IF(OR(RIGHT(H226,1)="r",RIGHT(H226,1)="z"),H226&amp;"es",IF(RIGHT(H226,1)="m",LEFT(H226,LEN(H226)-1)&amp;"ns",H226&amp;"s")))))</f>
        <v/>
      </c>
    </row>
    <row r="227">
      <c r="A227" s="3">
        <f>IF(OR(G227="",I227=""),"(falta traduzir)",F227&amp;" "&amp;I227&amp;" "&amp;G227)</f>
        <v/>
      </c>
      <c r="B227" t="inlineStr">
        <is>
          <t>缚冥落石术</t>
        </is>
      </c>
      <c r="C227" t="inlineStr">
        <is>
          <t>Dispersal's Nether Falling Rock</t>
        </is>
      </c>
      <c r="D227" t="n">
        <v>193</v>
      </c>
      <c r="E227" t="n">
        <v>217</v>
      </c>
      <c r="F227" t="inlineStr">
        <is>
          <t>Queda de Rochas</t>
        </is>
      </c>
      <c r="G227" s="4">
        <f>INDEX('Peça 1'!F:F,MATCH(D227,'Peça 1'!A:A,0))&amp;""</f>
        <v/>
      </c>
      <c r="H227" s="4">
        <f>IF(AND(INDEX('Nomes-base'!B:B,MATCH(F227,'Nomes-base'!A:A,0))="f",INDEX('Peça 2'!G:G,MATCH(E227,'Peça 2'!A:A,0))&amp;""&lt;&gt;""),INDEX('Peça 2'!G:G,MATCH(E227,'Peça 2'!A:A,0))&amp;"",INDEX('Peça 2'!F:F,MATCH(E227,'Peça 2'!A:A,0))&amp;"")</f>
        <v/>
      </c>
      <c r="I227" s="4">
        <f>IF(OR(H227="",ISNUMBER(SEARCH(" ",H227)),INDEX('Nomes-base'!C:C,MATCH(F227,'Nomes-base'!A:A,0))&lt;&gt;"p"),H227,IF(RIGHT(H227,1)="s",H227,IF(RIGHT(H227,1)="l",LEFT(H227,LEN(H227)-1)&amp;"is",IF(OR(RIGHT(H227,1)="r",RIGHT(H227,1)="z"),H227&amp;"es",IF(RIGHT(H227,1)="m",LEFT(H227,LEN(H227)-1)&amp;"ns",H227&amp;"s")))))</f>
        <v/>
      </c>
    </row>
    <row r="228">
      <c r="A228" s="3">
        <f>IF(OR(G228="",I228=""),"(falta traduzir)",F228&amp;" "&amp;I228&amp;" "&amp;G228)</f>
        <v/>
      </c>
      <c r="B228" t="inlineStr">
        <is>
          <t>散波疾龙破</t>
        </is>
      </c>
      <c r="C228" t="inlineStr">
        <is>
          <t>Freedom's Moist Sprinting Dragon Rising</t>
        </is>
      </c>
      <c r="D228" t="n">
        <v>194</v>
      </c>
      <c r="E228" t="n">
        <v>290</v>
      </c>
      <c r="F228" t="inlineStr">
        <is>
          <t>Ascensão do Dragão Veloz</t>
        </is>
      </c>
      <c r="G228" s="4">
        <f>INDEX('Peça 1'!F:F,MATCH(D228,'Peça 1'!A:A,0))&amp;""</f>
        <v/>
      </c>
      <c r="H228" s="4">
        <f>IF(AND(INDEX('Nomes-base'!B:B,MATCH(F228,'Nomes-base'!A:A,0))="f",INDEX('Peça 2'!G:G,MATCH(E228,'Peça 2'!A:A,0))&amp;""&lt;&gt;""),INDEX('Peça 2'!G:G,MATCH(E228,'Peça 2'!A:A,0))&amp;"",INDEX('Peça 2'!F:F,MATCH(E228,'Peça 2'!A:A,0))&amp;"")</f>
        <v/>
      </c>
      <c r="I228" s="4">
        <f>IF(OR(H228="",ISNUMBER(SEARCH(" ",H228)),INDEX('Nomes-base'!C:C,MATCH(F228,'Nomes-base'!A:A,0))&lt;&gt;"p"),H228,IF(RIGHT(H228,1)="s",H228,IF(RIGHT(H228,1)="l",LEFT(H228,LEN(H228)-1)&amp;"is",IF(OR(RIGHT(H228,1)="r",RIGHT(H228,1)="z"),H228&amp;"es",IF(RIGHT(H228,1)="m",LEFT(H228,LEN(H228)-1)&amp;"ns",H228&amp;"s")))))</f>
        <v/>
      </c>
    </row>
    <row r="229">
      <c r="A229" s="3">
        <f>IF(OR(G229="",I229=""),"(falta traduzir)",F229&amp;" "&amp;I229&amp;" "&amp;G229)</f>
        <v/>
      </c>
      <c r="B229" t="inlineStr">
        <is>
          <t>逸盈跃</t>
        </is>
      </c>
      <c r="C229" t="inlineStr">
        <is>
          <t>Hidden's Umbral Leap</t>
        </is>
      </c>
      <c r="D229" t="n">
        <v>195</v>
      </c>
      <c r="E229" t="n">
        <v>363</v>
      </c>
      <c r="F229" t="inlineStr">
        <is>
          <t>Salto</t>
        </is>
      </c>
      <c r="G229" s="4">
        <f>INDEX('Peça 1'!F:F,MATCH(D229,'Peça 1'!A:A,0))&amp;""</f>
        <v/>
      </c>
      <c r="H229" s="4">
        <f>IF(AND(INDEX('Nomes-base'!B:B,MATCH(F229,'Nomes-base'!A:A,0))="f",INDEX('Peça 2'!G:G,MATCH(E229,'Peça 2'!A:A,0))&amp;""&lt;&gt;""),INDEX('Peça 2'!G:G,MATCH(E229,'Peça 2'!A:A,0))&amp;"",INDEX('Peça 2'!F:F,MATCH(E229,'Peça 2'!A:A,0))&amp;"")</f>
        <v/>
      </c>
      <c r="I229" s="4">
        <f>IF(OR(H229="",ISNUMBER(SEARCH(" ",H229)),INDEX('Nomes-base'!C:C,MATCH(F229,'Nomes-base'!A:A,0))&lt;&gt;"p"),H229,IF(RIGHT(H229,1)="s",H229,IF(RIGHT(H229,1)="l",LEFT(H229,LEN(H229)-1)&amp;"is",IF(OR(RIGHT(H229,1)="r",RIGHT(H229,1)="z"),H229&amp;"es",IF(RIGHT(H229,1)="m",LEFT(H229,LEN(H229)-1)&amp;"ns",H229&amp;"s")))))</f>
        <v/>
      </c>
    </row>
    <row r="230">
      <c r="A230" s="3">
        <f>IF(OR(G230="",I230=""),"(falta traduzir)",F230&amp;" "&amp;I230&amp;" "&amp;G230)</f>
        <v/>
      </c>
      <c r="B230" t="inlineStr">
        <is>
          <t>隐鸦御术</t>
        </is>
      </c>
      <c r="C230" t="inlineStr">
        <is>
          <t>Aeon's Cawing Drift</t>
        </is>
      </c>
      <c r="D230" t="n">
        <v>196</v>
      </c>
      <c r="E230" t="n">
        <v>236</v>
      </c>
      <c r="F230" t="inlineStr">
        <is>
          <t>Deriva</t>
        </is>
      </c>
      <c r="G230" s="4">
        <f>INDEX('Peça 1'!F:F,MATCH(D230,'Peça 1'!A:A,0))&amp;""</f>
        <v/>
      </c>
      <c r="H230" s="4">
        <f>IF(AND(INDEX('Nomes-base'!B:B,MATCH(F230,'Nomes-base'!A:A,0))="f",INDEX('Peça 2'!G:G,MATCH(E230,'Peça 2'!A:A,0))&amp;""&lt;&gt;""),INDEX('Peça 2'!G:G,MATCH(E230,'Peça 2'!A:A,0))&amp;"",INDEX('Peça 2'!F:F,MATCH(E230,'Peça 2'!A:A,0))&amp;"")</f>
        <v/>
      </c>
      <c r="I230" s="4">
        <f>IF(OR(H230="",ISNUMBER(SEARCH(" ",H230)),INDEX('Nomes-base'!C:C,MATCH(F230,'Nomes-base'!A:A,0))&lt;&gt;"p"),H230,IF(RIGHT(H230,1)="s",H230,IF(RIGHT(H230,1)="l",LEFT(H230,LEN(H230)-1)&amp;"is",IF(OR(RIGHT(H230,1)="r",RIGHT(H230,1)="z"),H230&amp;"es",IF(RIGHT(H230,1)="m",LEFT(H230,LEN(H230)-1)&amp;"ns",H230&amp;"s")))))</f>
        <v/>
      </c>
    </row>
    <row r="231">
      <c r="A231" s="3">
        <f>IF(OR(G231="",I231=""),"(falta traduzir)",F231&amp;" "&amp;I231&amp;" "&amp;G231)</f>
        <v/>
      </c>
      <c r="B231" t="inlineStr">
        <is>
          <t>千武经</t>
        </is>
      </c>
      <c r="C231" t="inlineStr">
        <is>
          <t>Truth's Martial Sutra</t>
        </is>
      </c>
      <c r="D231" t="n">
        <v>197</v>
      </c>
      <c r="E231" t="n">
        <v>309</v>
      </c>
      <c r="F231" t="inlineStr">
        <is>
          <t>Sutra</t>
        </is>
      </c>
      <c r="G231" s="4">
        <f>INDEX('Peça 1'!F:F,MATCH(D231,'Peça 1'!A:A,0))&amp;""</f>
        <v/>
      </c>
      <c r="H231" s="4">
        <f>IF(AND(INDEX('Nomes-base'!B:B,MATCH(F231,'Nomes-base'!A:A,0))="f",INDEX('Peça 2'!G:G,MATCH(E231,'Peça 2'!A:A,0))&amp;""&lt;&gt;""),INDEX('Peça 2'!G:G,MATCH(E231,'Peça 2'!A:A,0))&amp;"",INDEX('Peça 2'!F:F,MATCH(E231,'Peça 2'!A:A,0))&amp;"")</f>
        <v/>
      </c>
      <c r="I231" s="4">
        <f>IF(OR(H231="",ISNUMBER(SEARCH(" ",H231)),INDEX('Nomes-base'!C:C,MATCH(F231,'Nomes-base'!A:A,0))&lt;&gt;"p"),H231,IF(RIGHT(H231,1)="s",H231,IF(RIGHT(H231,1)="l",LEFT(H231,LEN(H231)-1)&amp;"is",IF(OR(RIGHT(H231,1)="r",RIGHT(H231,1)="z"),H231&amp;"es",IF(RIGHT(H231,1)="m",LEFT(H231,LEN(H231)-1)&amp;"ns",H231&amp;"s")))))</f>
        <v/>
      </c>
    </row>
    <row r="232">
      <c r="A232" s="3">
        <f>IF(OR(G232="",I232=""),"(falta traduzir)",F232&amp;" "&amp;I232&amp;" "&amp;G232)</f>
        <v/>
      </c>
      <c r="B232" t="inlineStr">
        <is>
          <t>乾双贯龙枪</t>
        </is>
      </c>
      <c r="C232" t="inlineStr">
        <is>
          <t>Apocalypse's Twin Splitting Dragon Spear</t>
        </is>
      </c>
      <c r="D232" t="n">
        <v>198</v>
      </c>
      <c r="E232" t="n">
        <v>382</v>
      </c>
      <c r="F232" t="inlineStr">
        <is>
          <t>Lança do Dragão Fendente</t>
        </is>
      </c>
      <c r="G232" s="4">
        <f>INDEX('Peça 1'!F:F,MATCH(D232,'Peça 1'!A:A,0))&amp;""</f>
        <v/>
      </c>
      <c r="H232" s="4">
        <f>IF(AND(INDEX('Nomes-base'!B:B,MATCH(F232,'Nomes-base'!A:A,0))="f",INDEX('Peça 2'!G:G,MATCH(E232,'Peça 2'!A:A,0))&amp;""&lt;&gt;""),INDEX('Peça 2'!G:G,MATCH(E232,'Peça 2'!A:A,0))&amp;"",INDEX('Peça 2'!F:F,MATCH(E232,'Peça 2'!A:A,0))&amp;"")</f>
        <v/>
      </c>
      <c r="I232" s="4">
        <f>IF(OR(H232="",ISNUMBER(SEARCH(" ",H232)),INDEX('Nomes-base'!C:C,MATCH(F232,'Nomes-base'!A:A,0))&lt;&gt;"p"),H232,IF(RIGHT(H232,1)="s",H232,IF(RIGHT(H232,1)="l",LEFT(H232,LEN(H232)-1)&amp;"is",IF(OR(RIGHT(H232,1)="r",RIGHT(H232,1)="z"),H232&amp;"es",IF(RIGHT(H232,1)="m",LEFT(H232,LEN(H232)-1)&amp;"ns",H232&amp;"s")))))</f>
        <v/>
      </c>
    </row>
    <row r="233">
      <c r="A233" s="3">
        <f>IF(OR(G233="",I233=""),"(falta traduzir)",F233&amp;" "&amp;I233&amp;" "&amp;G233)</f>
        <v/>
      </c>
      <c r="B233" t="inlineStr">
        <is>
          <t>四劫毒沼术</t>
        </is>
      </c>
      <c r="C233" t="inlineStr">
        <is>
          <t>Remover's Trying Poisonous Marsh</t>
        </is>
      </c>
      <c r="D233" t="n">
        <v>199</v>
      </c>
      <c r="E233" t="n">
        <v>255</v>
      </c>
      <c r="F233" t="inlineStr">
        <is>
          <t>Pântano Venenoso</t>
        </is>
      </c>
      <c r="G233" s="4">
        <f>INDEX('Peça 1'!F:F,MATCH(D233,'Peça 1'!A:A,0))&amp;""</f>
        <v/>
      </c>
      <c r="H233" s="4">
        <f>IF(AND(INDEX('Nomes-base'!B:B,MATCH(F233,'Nomes-base'!A:A,0))="f",INDEX('Peça 2'!G:G,MATCH(E233,'Peça 2'!A:A,0))&amp;""&lt;&gt;""),INDEX('Peça 2'!G:G,MATCH(E233,'Peça 2'!A:A,0))&amp;"",INDEX('Peça 2'!F:F,MATCH(E233,'Peça 2'!A:A,0))&amp;"")</f>
        <v/>
      </c>
      <c r="I233" s="4">
        <f>IF(OR(H233="",ISNUMBER(SEARCH(" ",H233)),INDEX('Nomes-base'!C:C,MATCH(F233,'Nomes-base'!A:A,0))&lt;&gt;"p"),H233,IF(RIGHT(H233,1)="s",H233,IF(RIGHT(H233,1)="l",LEFT(H233,LEN(H233)-1)&amp;"is",IF(OR(RIGHT(H233,1)="r",RIGHT(H233,1)="z"),H233&amp;"es",IF(RIGHT(H233,1)="m",LEFT(H233,LEN(H233)-1)&amp;"ns",H233&amp;"s")))))</f>
        <v/>
      </c>
    </row>
    <row r="234">
      <c r="A234" s="3">
        <f>IF(OR(G234="",I234=""),"(falta traduzir)",F234&amp;" "&amp;I234&amp;" "&amp;G234)</f>
        <v/>
      </c>
      <c r="B234" t="inlineStr">
        <is>
          <t>移相怒血斩</t>
        </is>
      </c>
      <c r="C234" t="inlineStr">
        <is>
          <t>Memory's Aspected Furyblood Cleave</t>
        </is>
      </c>
      <c r="D234" t="n">
        <v>200</v>
      </c>
      <c r="E234" t="n">
        <v>328</v>
      </c>
      <c r="F234" t="inlineStr">
        <is>
          <t>Corte do Sangue Furioso</t>
        </is>
      </c>
      <c r="G234" s="4">
        <f>INDEX('Peça 1'!F:F,MATCH(D234,'Peça 1'!A:A,0))&amp;""</f>
        <v/>
      </c>
      <c r="H234" s="4">
        <f>IF(AND(INDEX('Nomes-base'!B:B,MATCH(F234,'Nomes-base'!A:A,0))="f",INDEX('Peça 2'!G:G,MATCH(E234,'Peça 2'!A:A,0))&amp;""&lt;&gt;""),INDEX('Peça 2'!G:G,MATCH(E234,'Peça 2'!A:A,0))&amp;"",INDEX('Peça 2'!F:F,MATCH(E234,'Peça 2'!A:A,0))&amp;"")</f>
        <v/>
      </c>
      <c r="I234" s="4">
        <f>IF(OR(H234="",ISNUMBER(SEARCH(" ",H234)),INDEX('Nomes-base'!C:C,MATCH(F234,'Nomes-base'!A:A,0))&lt;&gt;"p"),H234,IF(RIGHT(H234,1)="s",H234,IF(RIGHT(H234,1)="l",LEFT(H234,LEN(H234)-1)&amp;"is",IF(OR(RIGHT(H234,1)="r",RIGHT(H234,1)="z"),H234&amp;"es",IF(RIGHT(H234,1)="m",LEFT(H234,LEN(H234)-1)&amp;"ns",H234&amp;"s"))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2026-10-28T02:51:43Z</dcterms:created>
  <dcterms:modified xsi:type="dcterms:W3CDTF">2026-10-28T10:22:45Z</dcterms:modified>
  <cp:lastModifiedBy>Fábio Miranda</cp:lastModifiedBy>
</cp:coreProperties>
</file>